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FAJER UD/Li Lab/PDMS +Ethyl Acetate/"/>
    </mc:Choice>
  </mc:AlternateContent>
  <xr:revisionPtr revIDLastSave="0" documentId="13_ncr:1_{05A6C5C1-7CEA-6543-B8C7-42C0D4124B95}" xr6:coauthVersionLast="36" xr6:coauthVersionMax="36" xr10:uidLastSave="{00000000-0000-0000-0000-000000000000}"/>
  <bookViews>
    <workbookView xWindow="440" yWindow="2420" windowWidth="29800" windowHeight="15600" activeTab="1" xr2:uid="{00000000-000D-0000-FFFF-FFFF00000000}"/>
  </bookViews>
  <sheets>
    <sheet name="11-10-2025" sheetId="1" r:id="rId1"/>
    <sheet name="Sheet2" sheetId="2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F32" i="2" l="1"/>
  <c r="F31" i="2"/>
  <c r="B32" i="2"/>
  <c r="B31" i="2"/>
  <c r="Z31" i="2"/>
  <c r="Z21" i="2"/>
  <c r="R21" i="2"/>
  <c r="N21" i="2"/>
  <c r="J21" i="2"/>
  <c r="F21" i="2"/>
  <c r="B22" i="2"/>
  <c r="B21" i="2"/>
  <c r="V21" i="2"/>
  <c r="F22" i="2"/>
  <c r="V31" i="2"/>
  <c r="J31" i="2"/>
  <c r="J32" i="2"/>
  <c r="N32" i="2"/>
  <c r="N31" i="2"/>
  <c r="R31" i="2"/>
  <c r="J22" i="2"/>
  <c r="Z12" i="2"/>
  <c r="P12" i="2"/>
  <c r="Z32" i="2"/>
  <c r="R32" i="2"/>
  <c r="R22" i="2"/>
  <c r="N22" i="2"/>
  <c r="N21" i="1" l="1"/>
  <c r="N12" i="1"/>
  <c r="N32" i="1"/>
  <c r="J32" i="1" l="1"/>
  <c r="J31" i="1"/>
  <c r="F31" i="1"/>
  <c r="F32" i="1"/>
  <c r="B32" i="1"/>
  <c r="B31" i="1"/>
  <c r="J21" i="1"/>
  <c r="F21" i="1"/>
  <c r="F22" i="1"/>
  <c r="B22" i="1"/>
  <c r="B21" i="1"/>
  <c r="J12" i="1"/>
  <c r="F12" i="1"/>
  <c r="B12" i="1"/>
  <c r="J22" i="1" l="1"/>
</calcChain>
</file>

<file path=xl/sharedStrings.xml><?xml version="1.0" encoding="utf-8"?>
<sst xmlns="http://schemas.openxmlformats.org/spreadsheetml/2006/main" count="266" uniqueCount="194">
  <si>
    <t>Si Wafer</t>
  </si>
  <si>
    <t>Uncoated</t>
  </si>
  <si>
    <t>Total Thickness</t>
  </si>
  <si>
    <t>Bonded Thickness</t>
  </si>
  <si>
    <t>Average</t>
  </si>
  <si>
    <t>MSE = 2.444</t>
  </si>
  <si>
    <t>St.Dev.</t>
  </si>
  <si>
    <t>Thickness # 2 = 0.35 ± 0.011 nm</t>
  </si>
  <si>
    <t>Solutions prepared 11/10/2025</t>
  </si>
  <si>
    <t>MSE = 2.602</t>
  </si>
  <si>
    <t>Native Oxide = 1.44 ± 0.011 nm</t>
  </si>
  <si>
    <t>MSE = 4.474</t>
  </si>
  <si>
    <t>Native Oxide = 1.46 ± 0.018 nm</t>
  </si>
  <si>
    <t>MSE = 2.213</t>
  </si>
  <si>
    <t>Native Oxide = 1.44 ± 0.009 nm</t>
  </si>
  <si>
    <t>MSE = 2.930</t>
  </si>
  <si>
    <t>Native Oxide = 1.44 ± 0.012 nm</t>
  </si>
  <si>
    <t>MSE = 2.425</t>
  </si>
  <si>
    <t>Native Oxide = 1.43 ± 0.010 nm</t>
  </si>
  <si>
    <t>MSE = 2.581</t>
  </si>
  <si>
    <t>MSE = 2.597</t>
  </si>
  <si>
    <t>Native Oxide = 1.47 ± 0.011 nm</t>
  </si>
  <si>
    <t>MSE = 2.888</t>
  </si>
  <si>
    <t>Native Oxide = 1.47 ± 0.012 nm</t>
  </si>
  <si>
    <t>MSE = 2.474</t>
  </si>
  <si>
    <t>Native Oxide = 1.47 ± 0.010 nm</t>
  </si>
  <si>
    <t>MSE = 2.568</t>
  </si>
  <si>
    <t>Thickness # 2 = 0.87 ± 0.012 nm</t>
  </si>
  <si>
    <t>MSE = 2.423</t>
  </si>
  <si>
    <t>Thickness # 2 = 0.85 ± 0.012 nm</t>
  </si>
  <si>
    <t>MSE = 2.663</t>
  </si>
  <si>
    <t>Thickness # 2 = 0.89 ± 0.013 nm</t>
  </si>
  <si>
    <t>MSE = 2.525</t>
  </si>
  <si>
    <t>MSE = 2.705</t>
  </si>
  <si>
    <t>Thickness # 2 = 1.08 ± 0.013 nm</t>
  </si>
  <si>
    <t>MSE = 3.461</t>
  </si>
  <si>
    <t>Thickness # 2 = 1.12 ± 0.017 nm</t>
  </si>
  <si>
    <t>MSE = 2.661</t>
  </si>
  <si>
    <t>Thickness # 2 = 0.99 ± 0.013 nm</t>
  </si>
  <si>
    <t>MSE = 2.654</t>
  </si>
  <si>
    <t>Thickness # 2 = 1.02 ± 0.013 nm</t>
  </si>
  <si>
    <t>MSE = 2.585</t>
  </si>
  <si>
    <t>Thickness # 2 = 0.97 ± 0.012 nm</t>
  </si>
  <si>
    <t>MSE = 2.763</t>
  </si>
  <si>
    <t>Thickness # 2 = 1.10 ± 0.013 nm</t>
  </si>
  <si>
    <t>MSE = 3.287</t>
  </si>
  <si>
    <t>Thickness # 2 = 0.34 ± 0.016 nm</t>
  </si>
  <si>
    <t>MSE = 2.428</t>
  </si>
  <si>
    <t>Thickness # 2 = 0.35 ± 0.012 nm</t>
  </si>
  <si>
    <t>MSE = 2.316</t>
  </si>
  <si>
    <t>Thickness # 2 = 0.31 ± 0.011 nm</t>
  </si>
  <si>
    <t>MSE = 2.957</t>
  </si>
  <si>
    <t>Thickness # 2 = 0.32 ± 0.014 nm</t>
  </si>
  <si>
    <t>Thickness # 2 = 0.32 ± 0.012 nm</t>
  </si>
  <si>
    <t>Thickness # 2 = 0.31 ± 0.012 nm</t>
  </si>
  <si>
    <t>MSE = 2.617</t>
  </si>
  <si>
    <t>Thickness # 2 = 0.36 ± 0.013 nm</t>
  </si>
  <si>
    <t>MSE = 2.365</t>
  </si>
  <si>
    <t>MSE = 2.708</t>
  </si>
  <si>
    <t>Thickness # 2 = 0.40 ± 0.013 nm</t>
  </si>
  <si>
    <t>MSE = 2.672</t>
  </si>
  <si>
    <t>Native Oxide = 1.48 ± 0.011 nm</t>
  </si>
  <si>
    <t>MSE = 2.641</t>
  </si>
  <si>
    <t>MSE = 2.623</t>
  </si>
  <si>
    <t>Concentration(g/L)</t>
  </si>
  <si>
    <t>Total Thickness (nm)</t>
  </si>
  <si>
    <t>Bonded Thickness (nm)</t>
  </si>
  <si>
    <t>MSE = 2.357</t>
  </si>
  <si>
    <t>Thickness # 2 = 1.53 ± 0.011 nm</t>
  </si>
  <si>
    <t>MSE = 2.337</t>
  </si>
  <si>
    <t>Thickness # 2 = 1.48 ± 0.011 nm</t>
  </si>
  <si>
    <t>MSE = 2.371</t>
  </si>
  <si>
    <t>Thickness # 2 = 1.46 ± 0.011 nm</t>
  </si>
  <si>
    <t>MSE = 2.897</t>
  </si>
  <si>
    <t>Thickness # 2 = 0.26 ± 0.014 nm</t>
  </si>
  <si>
    <t>MSE = 2.148</t>
  </si>
  <si>
    <t>Thickness # 2 = 0.25 ± 0.010 nm</t>
  </si>
  <si>
    <t>MSE = 2.595</t>
  </si>
  <si>
    <t>Thickness # 2 = 0.29 ± 0.012 nm</t>
  </si>
  <si>
    <t>0.87 ± 0.001</t>
  </si>
  <si>
    <t>0.33 ± 0.003</t>
  </si>
  <si>
    <t>0.99 ± 0.001</t>
  </si>
  <si>
    <t>0.32 ± 0.001</t>
  </si>
  <si>
    <t>1.1 ± 0.001</t>
  </si>
  <si>
    <t>1.49  ± 0.0</t>
  </si>
  <si>
    <t>0.37  ± 0.001</t>
  </si>
  <si>
    <t>0.38  ± 0.001</t>
  </si>
  <si>
    <t>Solutions prepared 12/08/2025</t>
  </si>
  <si>
    <t>MSE = 2.648</t>
  </si>
  <si>
    <t>Native Oxide = 1.50 ± 0.011 nm</t>
  </si>
  <si>
    <t>MSE = 2.426</t>
  </si>
  <si>
    <t>Native Oxide = 1.58 ± 0.010 nm</t>
  </si>
  <si>
    <t>MSE = 2.586</t>
  </si>
  <si>
    <t>Native Oxide = 1.58 ± 0.011 nm</t>
  </si>
  <si>
    <t>MSE = 2.768</t>
  </si>
  <si>
    <t>Native Oxide = 1.57 ± 0.011 nm</t>
  </si>
  <si>
    <t>MSE = 2.611</t>
  </si>
  <si>
    <t>Thickness # 2 = 1.32 ± 0.015 nm</t>
  </si>
  <si>
    <t>MSE = 2.818</t>
  </si>
  <si>
    <t>Thickness # 2 = 1.28 ± 0.016 nm</t>
  </si>
  <si>
    <t>MSE = 2.709</t>
  </si>
  <si>
    <t>Thickness # 2 = 1.69 ± 0.015 nm</t>
  </si>
  <si>
    <t>MSE = 2.732</t>
  </si>
  <si>
    <t>Thickness # 2 = 1.68 ± 0.016 nm</t>
  </si>
  <si>
    <t>MSE = 2.702</t>
  </si>
  <si>
    <t>Thickness # 2 = 1.99 ± 0.015 nm</t>
  </si>
  <si>
    <t>MSE = 2.882</t>
  </si>
  <si>
    <t>Thickness # 2 = 1.95 ± 0.016 nm</t>
  </si>
  <si>
    <t>MSE = 2.632</t>
  </si>
  <si>
    <t>Thickness # 2 = 3.51 ± 0.013 nm</t>
  </si>
  <si>
    <t>MSE = 2.511</t>
  </si>
  <si>
    <t>Thickness # 2 = 3.64 ± 0.012 nm</t>
  </si>
  <si>
    <t>MSE = 2.541</t>
  </si>
  <si>
    <t>Thickness # 2 = 4.21 ± 0.012 nm</t>
  </si>
  <si>
    <t>MSE = 2.690</t>
  </si>
  <si>
    <t>Thickness # 2 = 1.23 ± 0.013 nm</t>
  </si>
  <si>
    <t>MSE = 2.803</t>
  </si>
  <si>
    <t>Thickness # 2 = 1.74 ± 0.014 nm</t>
  </si>
  <si>
    <t>MSE = 2.637</t>
  </si>
  <si>
    <t>Thickness # 2 = 1.84 ± 0.013 nm</t>
  </si>
  <si>
    <t>MSE = 2.530</t>
  </si>
  <si>
    <t>Thickness # 2 = 2.55 ± 0.012 nm</t>
  </si>
  <si>
    <t>MSE = 2.451</t>
  </si>
  <si>
    <t>Thickness # 2 = 2.25 ± 0.012 nm</t>
  </si>
  <si>
    <t>MSE = 2.510</t>
  </si>
  <si>
    <t>Thickness # 2 = 2.28 ± 0.012 nm</t>
  </si>
  <si>
    <t>Thickness # 2 = 0.71 ± 0.013 nm</t>
  </si>
  <si>
    <t>MSE = 2.449</t>
  </si>
  <si>
    <t>Thickness # 2 = 0.70 ± 0.012 nm</t>
  </si>
  <si>
    <t>MSE = 2.670</t>
  </si>
  <si>
    <t>Thickness # 2 = 0.74 ± 0.013 nm</t>
  </si>
  <si>
    <t>MSE = 2.598</t>
  </si>
  <si>
    <t>Thickness # 2 = 0.67 ± 0.013 nm</t>
  </si>
  <si>
    <t>MSE = 2.742</t>
  </si>
  <si>
    <t>Thickness # 2 = 0.69 ± 0.013 nm</t>
  </si>
  <si>
    <t>Thickness # 2 = 0.66 ± 0.012 nm</t>
  </si>
  <si>
    <t>Thickness # 2 = 0.64 ± 0.013 nm</t>
  </si>
  <si>
    <t>MSE = 2.743</t>
  </si>
  <si>
    <t>Thickness # 2 = 0.61 ± 0.013 nm</t>
  </si>
  <si>
    <t>Thickness # 2 = 0.60 ± 0.013 nm</t>
  </si>
  <si>
    <t>MSE = 2.755</t>
  </si>
  <si>
    <t>Thickness # 2 = 0.98 ± 0.013 nm</t>
  </si>
  <si>
    <t>MSE = 2.625</t>
  </si>
  <si>
    <t>Thickness # 2 = 0.94 ± 0.013 nm</t>
  </si>
  <si>
    <t>MSE = 2.717</t>
  </si>
  <si>
    <t>MSE = 2.835</t>
  </si>
  <si>
    <t>Native Oxide = 1.33 ± 0.012 nm</t>
  </si>
  <si>
    <t>MSE = 2.744</t>
  </si>
  <si>
    <t>Native Oxide = 1.31 ± 0.011 nm</t>
  </si>
  <si>
    <t>MSE = 2.794</t>
  </si>
  <si>
    <t>Native Oxide = 1.32 ± 0.011 nm</t>
  </si>
  <si>
    <t>MSE = 2.863</t>
  </si>
  <si>
    <t>Thickness # 2 = 0.65 ± 0.016 nm</t>
  </si>
  <si>
    <t>MSE = 2.828</t>
  </si>
  <si>
    <t>MSE = 2.688</t>
  </si>
  <si>
    <t>Thickness # 2 = 0.65 ± 0.015 nm</t>
  </si>
  <si>
    <t>MSE = 2.847</t>
  </si>
  <si>
    <t>Thickness # 2 = 0.91 ± 0.016 nm</t>
  </si>
  <si>
    <t>MSE = 2.802</t>
  </si>
  <si>
    <t>Thickness # 2 = 1.01 ± 0.016 nm</t>
  </si>
  <si>
    <t>MSE = 2.990</t>
  </si>
  <si>
    <t>Thickness # 2 = 1.01 ± 0.017 nm</t>
  </si>
  <si>
    <t>Thickness # 2 = 1.08 ± 0.015 nm</t>
  </si>
  <si>
    <t>MSE = 2.719</t>
  </si>
  <si>
    <t>Thickness # 2 = 1.07 ± 0.016 nm</t>
  </si>
  <si>
    <t>MSE = 2.696</t>
  </si>
  <si>
    <t>Thickness # 2 = 1.03 ± 0.015 nm</t>
  </si>
  <si>
    <t>MSE = 2.680</t>
  </si>
  <si>
    <t>Thickness # 2 = 0.39 ± 0.015 nm</t>
  </si>
  <si>
    <t>MSE = 3.341</t>
  </si>
  <si>
    <t>Thickness # 2 = 0.34 ± 0.019 nm</t>
  </si>
  <si>
    <t>MSE = 2.939</t>
  </si>
  <si>
    <t>Thickness # 2 = 0.32 ± 0.017 nm</t>
  </si>
  <si>
    <t>Thickness # 2 = 0.39 ± 0.016 nm</t>
  </si>
  <si>
    <t>MSE = 2.846</t>
  </si>
  <si>
    <t>MSE = 2.881</t>
  </si>
  <si>
    <t>Thickness # 2 = 0.47 ± 0.016 nm</t>
  </si>
  <si>
    <t>MSE = 3.019</t>
  </si>
  <si>
    <t>Thickness # 2 = 0.41 ± 0.017 nm</t>
  </si>
  <si>
    <t>0.65 ± 0.001</t>
  </si>
  <si>
    <t>0.35 ± 0.002</t>
  </si>
  <si>
    <t>0.98 ± 0.001</t>
  </si>
  <si>
    <t>0.42  ± 0.001</t>
  </si>
  <si>
    <t xml:space="preserve">  1.29± 0.001</t>
  </si>
  <si>
    <t xml:space="preserve"> 0.62 ± 0.001</t>
  </si>
  <si>
    <t>0.67  ± 0.001</t>
  </si>
  <si>
    <t xml:space="preserve">  0.72± 0.001</t>
  </si>
  <si>
    <t>2.36  ± 0.0</t>
  </si>
  <si>
    <t xml:space="preserve">  1.93± 0.001</t>
  </si>
  <si>
    <t>3.79  ± 0.001</t>
  </si>
  <si>
    <t xml:space="preserve">  1.70 ± 0.001</t>
  </si>
  <si>
    <t xml:space="preserve"> 0.97 ± 0.001</t>
  </si>
  <si>
    <t xml:space="preserve"> 1.06 ± 0.001</t>
  </si>
  <si>
    <t>Concentration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</si>
</sst>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0" fontId="0" fillId="2" borderId="0" xfId="0" applyFill="1"/>
    <xf numFmtId="0" fontId="0" fillId="0" borderId="0" xfId="0" applyFill="1"/>
    <xf numFmtId="2" fontId="0" fillId="0" borderId="0" xfId="0" applyNumberFormat="1" applyFill="1"/>
    <xf numFmtId="0" fontId="1" fillId="0" borderId="0" xfId="0" applyFont="1"/>
    <xf numFmtId="2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Thickness (nm)</c:v>
          </c:tx>
          <c:spPr>
            <a:ln w="25400">
              <a:solidFill>
                <a:srgbClr val="0000FF"/>
              </a:solidFill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Sheet2!$E$46:$E$52</c:f>
              <c:numCache>
                <c:formatCode>General</c:formatCode>
                <c:ptCount val="7"/>
                <c:pt idx="0">
                  <c:v>0.1</c:v>
                </c:pt>
                <c:pt idx="1">
                  <c:v>0.25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</c:numCache>
            </c:numRef>
          </c:xVal>
          <c:yVal>
            <c:numRef>
              <c:f>Sheet2!$F$46:$F$52</c:f>
              <c:numCache>
                <c:formatCode>General</c:formatCode>
                <c:ptCount val="7"/>
                <c:pt idx="0">
                  <c:v>0.65</c:v>
                </c:pt>
                <c:pt idx="1">
                  <c:v>0.98</c:v>
                </c:pt>
                <c:pt idx="2">
                  <c:v>1.29</c:v>
                </c:pt>
                <c:pt idx="3">
                  <c:v>1.7</c:v>
                </c:pt>
                <c:pt idx="4">
                  <c:v>1.93</c:v>
                </c:pt>
                <c:pt idx="5">
                  <c:v>2.36</c:v>
                </c:pt>
                <c:pt idx="6">
                  <c:v>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EB-D243-A8FD-DBE3AFD7170A}"/>
            </c:ext>
          </c:extLst>
        </c:ser>
        <c:ser>
          <c:idx val="1"/>
          <c:order val="1"/>
          <c:tx>
            <c:v>Bonded Thickness (nm)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[1]Data!$A$2:$A$8</c:f>
              <c:numCache>
                <c:formatCode>General</c:formatCode>
                <c:ptCount val="7"/>
                <c:pt idx="0">
                  <c:v>0.1</c:v>
                </c:pt>
                <c:pt idx="1">
                  <c:v>0.25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</c:numCache>
            </c:numRef>
          </c:xVal>
          <c:yVal>
            <c:numRef>
              <c:f>[1]Data!$C$2:$C$8</c:f>
              <c:numCache>
                <c:formatCode>General</c:formatCode>
                <c:ptCount val="7"/>
                <c:pt idx="0">
                  <c:v>0.35</c:v>
                </c:pt>
                <c:pt idx="1">
                  <c:v>0.42</c:v>
                </c:pt>
                <c:pt idx="2">
                  <c:v>0.62</c:v>
                </c:pt>
                <c:pt idx="3">
                  <c:v>0.67</c:v>
                </c:pt>
                <c:pt idx="4">
                  <c:v>0.72</c:v>
                </c:pt>
                <c:pt idx="5">
                  <c:v>0.97</c:v>
                </c:pt>
                <c:pt idx="6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EB-D243-A8FD-DBE3AFD7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Concentration (g/L)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Thickness (nm)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44</xdr:row>
      <xdr:rowOff>0</xdr:rowOff>
    </xdr:from>
    <xdr:to>
      <xdr:col>18</xdr:col>
      <xdr:colOff>228600</xdr:colOff>
      <xdr:row>64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4D0F3-D2D2-1846-8F8B-F2EE39AD8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jeralmanea/Downloads/PDMS_Thickness_New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2">
          <cell r="A2">
            <v>0.1</v>
          </cell>
          <cell r="C2">
            <v>0.35</v>
          </cell>
        </row>
        <row r="3">
          <cell r="A3">
            <v>0.25</v>
          </cell>
          <cell r="C3">
            <v>0.42</v>
          </cell>
        </row>
        <row r="4">
          <cell r="A4">
            <v>1</v>
          </cell>
          <cell r="C4">
            <v>0.62</v>
          </cell>
        </row>
        <row r="5">
          <cell r="A5">
            <v>2</v>
          </cell>
          <cell r="C5">
            <v>0.67</v>
          </cell>
        </row>
        <row r="6">
          <cell r="A6">
            <v>3</v>
          </cell>
          <cell r="C6">
            <v>0.72</v>
          </cell>
        </row>
        <row r="7">
          <cell r="A7">
            <v>5</v>
          </cell>
          <cell r="C7">
            <v>0.97</v>
          </cell>
        </row>
        <row r="8">
          <cell r="A8">
            <v>10</v>
          </cell>
          <cell r="C8">
            <v>1.06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10.6640625" bestFit="1" customWidth="1"/>
  </cols>
  <sheetData>
    <row r="1" spans="1:15" x14ac:dyDescent="0.2">
      <c r="A1" t="s">
        <v>0</v>
      </c>
      <c r="C1" t="s">
        <v>8</v>
      </c>
    </row>
    <row r="2" spans="1:15" x14ac:dyDescent="0.2">
      <c r="A2" s="1">
        <v>45971</v>
      </c>
    </row>
    <row r="4" spans="1:15" s="5" customFormat="1" x14ac:dyDescent="0.2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</row>
    <row r="5" spans="1:15" x14ac:dyDescent="0.2">
      <c r="A5" t="s">
        <v>9</v>
      </c>
      <c r="E5" t="s">
        <v>15</v>
      </c>
      <c r="I5" t="s">
        <v>20</v>
      </c>
      <c r="M5" t="s">
        <v>60</v>
      </c>
    </row>
    <row r="6" spans="1:15" x14ac:dyDescent="0.2">
      <c r="A6" t="s">
        <v>10</v>
      </c>
      <c r="E6" t="s">
        <v>16</v>
      </c>
      <c r="I6" t="s">
        <v>21</v>
      </c>
      <c r="M6" t="s">
        <v>61</v>
      </c>
    </row>
    <row r="7" spans="1:15" x14ac:dyDescent="0.2">
      <c r="A7" t="s">
        <v>11</v>
      </c>
      <c r="E7" t="s">
        <v>17</v>
      </c>
      <c r="I7" t="s">
        <v>22</v>
      </c>
      <c r="M7" t="s">
        <v>62</v>
      </c>
    </row>
    <row r="8" spans="1:15" x14ac:dyDescent="0.2">
      <c r="A8" t="s">
        <v>12</v>
      </c>
      <c r="E8" t="s">
        <v>18</v>
      </c>
      <c r="I8" t="s">
        <v>23</v>
      </c>
      <c r="M8" t="s">
        <v>21</v>
      </c>
    </row>
    <row r="9" spans="1:15" x14ac:dyDescent="0.2">
      <c r="A9" t="s">
        <v>13</v>
      </c>
      <c r="E9" t="s">
        <v>19</v>
      </c>
      <c r="I9" t="s">
        <v>24</v>
      </c>
      <c r="M9" t="s">
        <v>63</v>
      </c>
    </row>
    <row r="10" spans="1:15" x14ac:dyDescent="0.2">
      <c r="A10" t="s">
        <v>14</v>
      </c>
      <c r="E10" t="s">
        <v>10</v>
      </c>
      <c r="I10" t="s">
        <v>25</v>
      </c>
      <c r="M10" t="s">
        <v>61</v>
      </c>
    </row>
    <row r="12" spans="1:15" x14ac:dyDescent="0.2">
      <c r="A12" s="2" t="s">
        <v>4</v>
      </c>
      <c r="B12" s="3">
        <f>AVERAGE(1.44,1.46,1.44)</f>
        <v>1.4466666666666665</v>
      </c>
      <c r="E12" s="2" t="s">
        <v>4</v>
      </c>
      <c r="F12" s="3">
        <f>AVERAGE(1.44,1.43,1.44)</f>
        <v>1.4366666666666668</v>
      </c>
      <c r="I12" s="2" t="s">
        <v>4</v>
      </c>
      <c r="J12" s="3">
        <f>AVERAGE(1.47,1.47,1.47)</f>
        <v>1.47</v>
      </c>
      <c r="M12" s="2" t="s">
        <v>4</v>
      </c>
      <c r="N12" s="3">
        <f>AVERAGE(1.47,1.48,1.48)</f>
        <v>1.4766666666666666</v>
      </c>
    </row>
    <row r="13" spans="1:15" s="5" customFormat="1" x14ac:dyDescent="0.2">
      <c r="A13" s="12" t="s">
        <v>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11">
        <v>0.1</v>
      </c>
      <c r="B14" s="11"/>
      <c r="E14" s="11">
        <v>0.15</v>
      </c>
      <c r="F14" s="11"/>
      <c r="I14" s="11">
        <v>0.25</v>
      </c>
      <c r="J14" s="11"/>
      <c r="M14" s="11">
        <v>0.5</v>
      </c>
      <c r="N14" s="11"/>
    </row>
    <row r="15" spans="1:15" x14ac:dyDescent="0.2">
      <c r="A15" t="s">
        <v>26</v>
      </c>
      <c r="E15" t="s">
        <v>37</v>
      </c>
      <c r="I15" t="s">
        <v>33</v>
      </c>
      <c r="M15" t="s">
        <v>67</v>
      </c>
    </row>
    <row r="16" spans="1:15" x14ac:dyDescent="0.2">
      <c r="A16" t="s">
        <v>27</v>
      </c>
      <c r="E16" t="s">
        <v>38</v>
      </c>
      <c r="I16" t="s">
        <v>34</v>
      </c>
      <c r="M16" t="s">
        <v>68</v>
      </c>
    </row>
    <row r="17" spans="1:14" x14ac:dyDescent="0.2">
      <c r="A17" t="s">
        <v>28</v>
      </c>
      <c r="E17" t="s">
        <v>41</v>
      </c>
      <c r="I17" t="s">
        <v>35</v>
      </c>
      <c r="M17" t="s">
        <v>69</v>
      </c>
    </row>
    <row r="18" spans="1:14" x14ac:dyDescent="0.2">
      <c r="A18" t="s">
        <v>29</v>
      </c>
      <c r="E18" t="s">
        <v>42</v>
      </c>
      <c r="I18" t="s">
        <v>36</v>
      </c>
      <c r="M18" t="s">
        <v>70</v>
      </c>
    </row>
    <row r="19" spans="1:14" x14ac:dyDescent="0.2">
      <c r="A19" t="s">
        <v>30</v>
      </c>
      <c r="E19" t="s">
        <v>39</v>
      </c>
      <c r="I19" t="s">
        <v>43</v>
      </c>
      <c r="M19" t="s">
        <v>71</v>
      </c>
    </row>
    <row r="20" spans="1:14" x14ac:dyDescent="0.2">
      <c r="A20" t="s">
        <v>31</v>
      </c>
      <c r="E20" t="s">
        <v>40</v>
      </c>
      <c r="I20" t="s">
        <v>44</v>
      </c>
      <c r="M20" t="s">
        <v>72</v>
      </c>
    </row>
    <row r="21" spans="1:14" x14ac:dyDescent="0.2">
      <c r="A21" s="2" t="s">
        <v>4</v>
      </c>
      <c r="B21" s="3">
        <f>AVERAGE(0.87,0.85,0.89)</f>
        <v>0.87</v>
      </c>
      <c r="E21" s="2" t="s">
        <v>4</v>
      </c>
      <c r="F21" s="3">
        <f>AVERAGE(0.99,0.97,1.02)</f>
        <v>0.99333333333333329</v>
      </c>
      <c r="I21" s="2" t="s">
        <v>4</v>
      </c>
      <c r="J21" s="3">
        <f>AVERAGE(1.1,1.12,1.08)</f>
        <v>1.1000000000000001</v>
      </c>
      <c r="M21" s="2" t="s">
        <v>4</v>
      </c>
      <c r="N21" s="3">
        <f>AVERAGE(1.53,1.48,1.46)</f>
        <v>1.49</v>
      </c>
    </row>
    <row r="22" spans="1:14" x14ac:dyDescent="0.2">
      <c r="A22" s="2" t="s">
        <v>6</v>
      </c>
      <c r="B22" s="4">
        <f>_xlfn.STDEV.S(0.013,0.012,0.012)</f>
        <v>5.7735026918962525E-4</v>
      </c>
      <c r="E22" s="2" t="s">
        <v>6</v>
      </c>
      <c r="F22" s="4">
        <f>_xlfn.STDEV.S(0.013,0.012,0.012)</f>
        <v>5.7735026918962525E-4</v>
      </c>
      <c r="I22" s="2" t="s">
        <v>6</v>
      </c>
      <c r="J22" s="4">
        <f>_xlfn.STDEV.S(0.013,0.011,0.011)</f>
        <v>1.1547005383792516E-3</v>
      </c>
      <c r="M22" s="2" t="s">
        <v>6</v>
      </c>
      <c r="N22" s="4">
        <v>0</v>
      </c>
    </row>
    <row r="23" spans="1:14" s="5" customFormat="1" x14ac:dyDescent="0.2">
      <c r="A23" s="12" t="s">
        <v>3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4" x14ac:dyDescent="0.2">
      <c r="A24" s="11">
        <v>0.1</v>
      </c>
      <c r="B24" s="11"/>
      <c r="E24" s="11">
        <v>0.15</v>
      </c>
      <c r="F24" s="11"/>
      <c r="I24" s="11">
        <v>0.25</v>
      </c>
      <c r="J24" s="11"/>
      <c r="M24" s="11">
        <v>0.5</v>
      </c>
      <c r="N24" s="11"/>
    </row>
    <row r="25" spans="1:14" x14ac:dyDescent="0.2">
      <c r="A25" t="s">
        <v>45</v>
      </c>
      <c r="E25" t="s">
        <v>32</v>
      </c>
      <c r="I25" t="s">
        <v>55</v>
      </c>
      <c r="M25" t="s">
        <v>73</v>
      </c>
    </row>
    <row r="26" spans="1:14" x14ac:dyDescent="0.2">
      <c r="A26" t="s">
        <v>46</v>
      </c>
      <c r="E26" t="s">
        <v>53</v>
      </c>
      <c r="I26" t="s">
        <v>56</v>
      </c>
      <c r="M26" t="s">
        <v>74</v>
      </c>
    </row>
    <row r="27" spans="1:14" x14ac:dyDescent="0.2">
      <c r="A27" t="s">
        <v>49</v>
      </c>
      <c r="E27" t="s">
        <v>51</v>
      </c>
      <c r="I27" t="s">
        <v>57</v>
      </c>
      <c r="M27" t="s">
        <v>75</v>
      </c>
    </row>
    <row r="28" spans="1:14" x14ac:dyDescent="0.2">
      <c r="A28" t="s">
        <v>50</v>
      </c>
      <c r="E28" t="s">
        <v>52</v>
      </c>
      <c r="I28" t="s">
        <v>7</v>
      </c>
      <c r="M28" t="s">
        <v>76</v>
      </c>
    </row>
    <row r="29" spans="1:14" x14ac:dyDescent="0.2">
      <c r="A29" t="s">
        <v>47</v>
      </c>
      <c r="E29" t="s">
        <v>5</v>
      </c>
      <c r="I29" t="s">
        <v>58</v>
      </c>
      <c r="M29" t="s">
        <v>77</v>
      </c>
    </row>
    <row r="30" spans="1:14" x14ac:dyDescent="0.2">
      <c r="A30" t="s">
        <v>48</v>
      </c>
      <c r="E30" t="s">
        <v>54</v>
      </c>
      <c r="I30" t="s">
        <v>59</v>
      </c>
      <c r="M30" t="s">
        <v>78</v>
      </c>
    </row>
    <row r="31" spans="1:14" x14ac:dyDescent="0.2">
      <c r="A31" s="2" t="s">
        <v>4</v>
      </c>
      <c r="B31" s="3">
        <f>AVERAGE(0.34,0.31,0.35)</f>
        <v>0.33333333333333331</v>
      </c>
      <c r="E31" s="2" t="s">
        <v>4</v>
      </c>
      <c r="F31" s="3">
        <f>AVERAGE(0.32,0.32,0.31)</f>
        <v>0.31666666666666665</v>
      </c>
      <c r="I31" s="2" t="s">
        <v>4</v>
      </c>
      <c r="J31" s="3">
        <f>AVERAGE(0.36,0.35,0.4)</f>
        <v>0.36999999999999994</v>
      </c>
      <c r="M31" s="2" t="s">
        <v>4</v>
      </c>
      <c r="N31" s="3">
        <v>0.38</v>
      </c>
    </row>
    <row r="32" spans="1:14" x14ac:dyDescent="0.2">
      <c r="A32" s="2" t="s">
        <v>6</v>
      </c>
      <c r="B32" s="4">
        <f>_xlfn.STDEV.S(0.016,0.011,0.012)</f>
        <v>2.6457513110645908E-3</v>
      </c>
      <c r="E32" s="2" t="s">
        <v>6</v>
      </c>
      <c r="F32" s="4">
        <f>_xlfn.STDEV.S(0.013,0.012,0.012)</f>
        <v>5.7735026918962525E-4</v>
      </c>
      <c r="I32" s="2" t="s">
        <v>6</v>
      </c>
      <c r="J32" s="4">
        <f>_xlfn.STDEV.S(0.013,0.013,0.011)</f>
        <v>1.1547005383792516E-3</v>
      </c>
      <c r="M32" s="2" t="s">
        <v>6</v>
      </c>
      <c r="N32" s="4">
        <f>_xlfn.STDEV.S(0.013,0.013,0.011)</f>
        <v>1.1547005383792516E-3</v>
      </c>
    </row>
    <row r="36" spans="2:8" x14ac:dyDescent="0.2">
      <c r="B36" s="13" t="s">
        <v>64</v>
      </c>
      <c r="C36" s="13"/>
      <c r="D36" s="13" t="s">
        <v>65</v>
      </c>
      <c r="E36" s="13"/>
      <c r="F36" s="13" t="s">
        <v>66</v>
      </c>
      <c r="G36" s="13"/>
      <c r="H36" s="13"/>
    </row>
    <row r="37" spans="2:8" x14ac:dyDescent="0.2">
      <c r="B37" s="14">
        <v>0.1</v>
      </c>
      <c r="C37" s="14"/>
      <c r="D37" s="14" t="s">
        <v>79</v>
      </c>
      <c r="E37" s="14"/>
      <c r="F37" s="14" t="s">
        <v>80</v>
      </c>
      <c r="G37" s="14"/>
      <c r="H37" s="14"/>
    </row>
    <row r="38" spans="2:8" x14ac:dyDescent="0.2">
      <c r="B38" s="14">
        <v>0.15</v>
      </c>
      <c r="C38" s="14"/>
      <c r="D38" s="14" t="s">
        <v>81</v>
      </c>
      <c r="E38" s="14"/>
      <c r="F38" s="14" t="s">
        <v>82</v>
      </c>
      <c r="G38" s="14"/>
      <c r="H38" s="14"/>
    </row>
    <row r="39" spans="2:8" x14ac:dyDescent="0.2">
      <c r="B39" s="14">
        <v>0.25</v>
      </c>
      <c r="C39" s="14"/>
      <c r="D39" s="14" t="s">
        <v>83</v>
      </c>
      <c r="E39" s="14"/>
      <c r="F39" s="14" t="s">
        <v>85</v>
      </c>
      <c r="G39" s="14"/>
      <c r="H39" s="14"/>
    </row>
    <row r="40" spans="2:8" x14ac:dyDescent="0.2">
      <c r="B40" s="14">
        <v>0.5</v>
      </c>
      <c r="C40" s="14"/>
      <c r="D40" s="14" t="s">
        <v>84</v>
      </c>
      <c r="E40" s="14"/>
      <c r="F40" s="14" t="s">
        <v>86</v>
      </c>
      <c r="G40" s="14"/>
      <c r="H40" s="14"/>
    </row>
    <row r="41" spans="2:8" x14ac:dyDescent="0.2">
      <c r="B41" s="14">
        <v>1</v>
      </c>
      <c r="C41" s="14"/>
      <c r="D41" s="14"/>
      <c r="E41" s="14"/>
      <c r="F41" s="14"/>
      <c r="G41" s="14"/>
      <c r="H41" s="14"/>
    </row>
  </sheetData>
  <mergeCells count="29">
    <mergeCell ref="B40:C40"/>
    <mergeCell ref="D40:E40"/>
    <mergeCell ref="F40:H40"/>
    <mergeCell ref="B41:C41"/>
    <mergeCell ref="D41:E41"/>
    <mergeCell ref="F41:H41"/>
    <mergeCell ref="B38:C38"/>
    <mergeCell ref="D38:E38"/>
    <mergeCell ref="F38:H38"/>
    <mergeCell ref="B39:C39"/>
    <mergeCell ref="D39:E39"/>
    <mergeCell ref="F39:H39"/>
    <mergeCell ref="B36:C36"/>
    <mergeCell ref="D36:E36"/>
    <mergeCell ref="F36:H36"/>
    <mergeCell ref="B37:C37"/>
    <mergeCell ref="D37:E37"/>
    <mergeCell ref="F37:H37"/>
    <mergeCell ref="A24:B24"/>
    <mergeCell ref="E24:F24"/>
    <mergeCell ref="I24:J24"/>
    <mergeCell ref="A4:J4"/>
    <mergeCell ref="A23:J23"/>
    <mergeCell ref="A13:O13"/>
    <mergeCell ref="A14:B14"/>
    <mergeCell ref="E14:F14"/>
    <mergeCell ref="I14:J14"/>
    <mergeCell ref="M14:N14"/>
    <mergeCell ref="M24:N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3"/>
  <sheetViews>
    <sheetView tabSelected="1" topLeftCell="A36" workbookViewId="0">
      <selection activeCell="H58" sqref="H58"/>
    </sheetView>
  </sheetViews>
  <sheetFormatPr baseColWidth="10" defaultColWidth="8.83203125" defaultRowHeight="15" x14ac:dyDescent="0.2"/>
  <cols>
    <col min="9" max="9" width="10.6640625" bestFit="1" customWidth="1"/>
    <col min="25" max="25" width="9.5" bestFit="1" customWidth="1"/>
  </cols>
  <sheetData>
    <row r="1" spans="1:26" x14ac:dyDescent="0.2">
      <c r="I1" t="s">
        <v>0</v>
      </c>
      <c r="K1" t="s">
        <v>87</v>
      </c>
    </row>
    <row r="2" spans="1:26" x14ac:dyDescent="0.2">
      <c r="I2" s="1">
        <v>45999</v>
      </c>
    </row>
    <row r="4" spans="1:26" s="5" customFormat="1" x14ac:dyDescent="0.2">
      <c r="I4" s="12" t="s">
        <v>1</v>
      </c>
      <c r="J4" s="12"/>
      <c r="K4" s="12"/>
      <c r="L4" s="12"/>
      <c r="M4" s="12"/>
      <c r="N4" s="12"/>
      <c r="O4" s="12"/>
      <c r="P4" s="12"/>
      <c r="Q4" s="12"/>
      <c r="R4" s="12"/>
    </row>
    <row r="5" spans="1:26" x14ac:dyDescent="0.2">
      <c r="B5" t="s">
        <v>145</v>
      </c>
      <c r="N5" t="s">
        <v>88</v>
      </c>
      <c r="Y5" t="s">
        <v>90</v>
      </c>
    </row>
    <row r="6" spans="1:26" x14ac:dyDescent="0.2">
      <c r="B6" t="s">
        <v>146</v>
      </c>
      <c r="N6" t="s">
        <v>61</v>
      </c>
      <c r="Y6" t="s">
        <v>91</v>
      </c>
    </row>
    <row r="7" spans="1:26" x14ac:dyDescent="0.2">
      <c r="B7" t="s">
        <v>147</v>
      </c>
      <c r="N7" t="s">
        <v>60</v>
      </c>
      <c r="Y7" t="s">
        <v>92</v>
      </c>
    </row>
    <row r="8" spans="1:26" x14ac:dyDescent="0.2">
      <c r="B8" t="s">
        <v>148</v>
      </c>
      <c r="N8" t="s">
        <v>89</v>
      </c>
      <c r="Y8" t="s">
        <v>93</v>
      </c>
    </row>
    <row r="9" spans="1:26" x14ac:dyDescent="0.2">
      <c r="B9" t="s">
        <v>149</v>
      </c>
      <c r="N9" t="s">
        <v>43</v>
      </c>
      <c r="Y9" t="s">
        <v>94</v>
      </c>
    </row>
    <row r="10" spans="1:26" x14ac:dyDescent="0.2">
      <c r="B10" t="s">
        <v>150</v>
      </c>
      <c r="N10" t="s">
        <v>89</v>
      </c>
      <c r="Y10" t="s">
        <v>95</v>
      </c>
    </row>
    <row r="12" spans="1:26" x14ac:dyDescent="0.2">
      <c r="B12" s="2" t="s">
        <v>4</v>
      </c>
      <c r="C12" s="3">
        <v>1.32</v>
      </c>
      <c r="I12" s="6"/>
      <c r="J12" s="7"/>
      <c r="O12" s="2" t="s">
        <v>4</v>
      </c>
      <c r="P12" s="3">
        <f>AVERAGE(1.48,1.5,1.5)</f>
        <v>1.4933333333333334</v>
      </c>
      <c r="Q12" s="6"/>
      <c r="R12" s="7"/>
      <c r="S12" s="6"/>
      <c r="T12" s="6"/>
      <c r="U12" s="6"/>
      <c r="V12" s="7"/>
      <c r="W12" s="6"/>
      <c r="X12" s="6"/>
      <c r="Y12" s="2" t="s">
        <v>4</v>
      </c>
      <c r="Z12" s="3">
        <f>AVERAGE(1.58,1.58,1.57)</f>
        <v>1.5766666666666669</v>
      </c>
    </row>
    <row r="13" spans="1:26" s="5" customFormat="1" x14ac:dyDescent="0.2">
      <c r="I13" s="12" t="s">
        <v>2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6" x14ac:dyDescent="0.2">
      <c r="A14" s="11">
        <v>0.1</v>
      </c>
      <c r="B14" s="11"/>
      <c r="E14" s="11">
        <v>0.25</v>
      </c>
      <c r="F14" s="11"/>
      <c r="I14" s="11">
        <v>1</v>
      </c>
      <c r="J14" s="11"/>
      <c r="M14" s="11">
        <v>2</v>
      </c>
      <c r="N14" s="11"/>
      <c r="Q14" s="11">
        <v>3</v>
      </c>
      <c r="R14" s="11"/>
      <c r="U14" s="11">
        <v>5</v>
      </c>
      <c r="V14" s="11"/>
      <c r="Y14" s="11">
        <v>10</v>
      </c>
      <c r="Z14" s="11"/>
    </row>
    <row r="15" spans="1:26" x14ac:dyDescent="0.2">
      <c r="A15" t="s">
        <v>151</v>
      </c>
      <c r="E15" t="s">
        <v>156</v>
      </c>
      <c r="I15" t="s">
        <v>98</v>
      </c>
      <c r="M15" t="s">
        <v>102</v>
      </c>
      <c r="Q15" t="s">
        <v>104</v>
      </c>
      <c r="U15" t="s">
        <v>120</v>
      </c>
      <c r="Y15" t="s">
        <v>108</v>
      </c>
    </row>
    <row r="16" spans="1:26" x14ac:dyDescent="0.2">
      <c r="A16" t="s">
        <v>152</v>
      </c>
      <c r="E16" t="s">
        <v>157</v>
      </c>
      <c r="I16" t="s">
        <v>99</v>
      </c>
      <c r="M16" t="s">
        <v>103</v>
      </c>
      <c r="Q16" t="s">
        <v>105</v>
      </c>
      <c r="U16" t="s">
        <v>121</v>
      </c>
      <c r="Y16" t="s">
        <v>109</v>
      </c>
    </row>
    <row r="17" spans="1:26" x14ac:dyDescent="0.2">
      <c r="A17" t="s">
        <v>153</v>
      </c>
      <c r="E17" t="s">
        <v>158</v>
      </c>
      <c r="I17" t="s">
        <v>96</v>
      </c>
      <c r="M17" t="s">
        <v>100</v>
      </c>
      <c r="Q17" t="s">
        <v>106</v>
      </c>
      <c r="U17" t="s">
        <v>122</v>
      </c>
      <c r="Y17" t="s">
        <v>110</v>
      </c>
    </row>
    <row r="18" spans="1:26" x14ac:dyDescent="0.2">
      <c r="A18" t="s">
        <v>152</v>
      </c>
      <c r="E18" t="s">
        <v>159</v>
      </c>
      <c r="I18" t="s">
        <v>97</v>
      </c>
      <c r="M18" t="s">
        <v>101</v>
      </c>
      <c r="Q18" t="s">
        <v>107</v>
      </c>
      <c r="U18" t="s">
        <v>123</v>
      </c>
      <c r="Y18" t="s">
        <v>111</v>
      </c>
    </row>
    <row r="19" spans="1:26" x14ac:dyDescent="0.2">
      <c r="A19" t="s">
        <v>154</v>
      </c>
      <c r="E19" t="s">
        <v>160</v>
      </c>
      <c r="I19" t="s">
        <v>114</v>
      </c>
      <c r="M19" t="s">
        <v>116</v>
      </c>
      <c r="Q19" t="s">
        <v>118</v>
      </c>
      <c r="U19" t="s">
        <v>124</v>
      </c>
      <c r="Y19" t="s">
        <v>112</v>
      </c>
    </row>
    <row r="20" spans="1:26" x14ac:dyDescent="0.2">
      <c r="A20" t="s">
        <v>155</v>
      </c>
      <c r="E20" t="s">
        <v>161</v>
      </c>
      <c r="I20" t="s">
        <v>115</v>
      </c>
      <c r="M20" t="s">
        <v>117</v>
      </c>
      <c r="Q20" t="s">
        <v>119</v>
      </c>
      <c r="U20" t="s">
        <v>125</v>
      </c>
      <c r="Y20" t="s">
        <v>113</v>
      </c>
    </row>
    <row r="21" spans="1:26" x14ac:dyDescent="0.2">
      <c r="A21" s="2" t="s">
        <v>4</v>
      </c>
      <c r="B21" s="3">
        <f>AVERAGE(0.65,0.65,0.65)</f>
        <v>0.65</v>
      </c>
      <c r="E21" s="2" t="s">
        <v>4</v>
      </c>
      <c r="F21" s="3">
        <f>AVERAGE(0.91,1.01,1.01)</f>
        <v>0.97666666666666657</v>
      </c>
      <c r="I21" s="2" t="s">
        <v>4</v>
      </c>
      <c r="J21" s="3">
        <f>AVERAGE(1.35,1.28,1.23)</f>
        <v>1.2866666666666666</v>
      </c>
      <c r="M21" s="2" t="s">
        <v>4</v>
      </c>
      <c r="N21" s="3">
        <f>AVERAGE(1.74,1.68,1.69)</f>
        <v>1.7033333333333331</v>
      </c>
      <c r="Q21" s="2" t="s">
        <v>4</v>
      </c>
      <c r="R21" s="3">
        <f>AVERAGE(1.84,1.99,1.95)</f>
        <v>1.9266666666666667</v>
      </c>
      <c r="U21" s="2" t="s">
        <v>4</v>
      </c>
      <c r="V21" s="3">
        <f>AVERAGE(2.55,2.25,2.28)</f>
        <v>2.36</v>
      </c>
      <c r="Y21" s="2" t="s">
        <v>4</v>
      </c>
      <c r="Z21" s="3">
        <f>AVERAGE(3.51,3.64,4.21)</f>
        <v>3.7866666666666666</v>
      </c>
    </row>
    <row r="22" spans="1:26" x14ac:dyDescent="0.2">
      <c r="A22" s="2" t="s">
        <v>6</v>
      </c>
      <c r="B22" s="4">
        <f>_xlfn.STDEV.S(0.016,0.016,0.015)</f>
        <v>5.7735026918962634E-4</v>
      </c>
      <c r="E22" s="2" t="s">
        <v>6</v>
      </c>
      <c r="F22" s="4">
        <f>_xlfn.STDEV.S(0.015,0.016,0.015)</f>
        <v>5.7735026918962623E-4</v>
      </c>
      <c r="I22" s="2" t="s">
        <v>6</v>
      </c>
      <c r="J22" s="4">
        <f>_xlfn.STDEV.S(0.015,0.016,0.015)</f>
        <v>5.7735026918962623E-4</v>
      </c>
      <c r="M22" s="2" t="s">
        <v>6</v>
      </c>
      <c r="N22" s="4">
        <f>_xlfn.STDEV.S(0.013,0.012,0.012)</f>
        <v>5.7735026918962525E-4</v>
      </c>
      <c r="Q22" s="2" t="s">
        <v>6</v>
      </c>
      <c r="R22" s="4">
        <f>_xlfn.STDEV.S(0.013,0.011,0.011)</f>
        <v>1.1547005383792516E-3</v>
      </c>
      <c r="U22" s="2" t="s">
        <v>6</v>
      </c>
      <c r="V22" s="4">
        <v>0</v>
      </c>
      <c r="Y22" s="2" t="s">
        <v>6</v>
      </c>
      <c r="Z22" s="4">
        <v>1E-3</v>
      </c>
    </row>
    <row r="23" spans="1:26" s="5" customFormat="1" x14ac:dyDescent="0.2">
      <c r="I23" s="12" t="s">
        <v>3</v>
      </c>
      <c r="J23" s="12"/>
      <c r="K23" s="12"/>
      <c r="L23" s="12"/>
      <c r="M23" s="12"/>
      <c r="N23" s="12"/>
      <c r="O23" s="12"/>
      <c r="P23" s="12"/>
      <c r="Q23" s="12"/>
      <c r="R23" s="12"/>
    </row>
    <row r="24" spans="1:26" x14ac:dyDescent="0.2">
      <c r="A24" s="11">
        <v>0.1</v>
      </c>
      <c r="B24" s="11"/>
      <c r="E24" s="11">
        <v>0.25</v>
      </c>
      <c r="F24" s="11"/>
      <c r="I24" s="11">
        <v>1</v>
      </c>
      <c r="J24" s="11"/>
      <c r="M24" s="11">
        <v>2</v>
      </c>
      <c r="N24" s="11"/>
      <c r="Q24" s="11">
        <v>3</v>
      </c>
      <c r="R24" s="11"/>
      <c r="U24" s="11">
        <v>5</v>
      </c>
      <c r="V24" s="11"/>
      <c r="Y24" s="11">
        <v>10</v>
      </c>
      <c r="Z24" s="11"/>
    </row>
    <row r="25" spans="1:26" x14ac:dyDescent="0.2">
      <c r="A25" t="s">
        <v>167</v>
      </c>
      <c r="E25" t="s">
        <v>177</v>
      </c>
      <c r="I25" t="s">
        <v>39</v>
      </c>
      <c r="M25" t="s">
        <v>133</v>
      </c>
      <c r="Q25" t="s">
        <v>30</v>
      </c>
      <c r="U25" t="s">
        <v>140</v>
      </c>
      <c r="Y25" t="s">
        <v>129</v>
      </c>
    </row>
    <row r="26" spans="1:26" x14ac:dyDescent="0.2">
      <c r="A26" t="s">
        <v>168</v>
      </c>
      <c r="E26" t="s">
        <v>178</v>
      </c>
      <c r="I26" t="s">
        <v>139</v>
      </c>
      <c r="M26" t="s">
        <v>134</v>
      </c>
      <c r="Q26" t="s">
        <v>126</v>
      </c>
      <c r="U26" t="s">
        <v>141</v>
      </c>
      <c r="Y26" t="s">
        <v>162</v>
      </c>
    </row>
    <row r="27" spans="1:26" x14ac:dyDescent="0.2">
      <c r="A27" t="s">
        <v>169</v>
      </c>
      <c r="E27" t="s">
        <v>174</v>
      </c>
      <c r="I27" t="s">
        <v>43</v>
      </c>
      <c r="M27" t="s">
        <v>120</v>
      </c>
      <c r="Q27" t="s">
        <v>127</v>
      </c>
      <c r="U27" t="s">
        <v>144</v>
      </c>
      <c r="Y27" t="s">
        <v>163</v>
      </c>
    </row>
    <row r="28" spans="1:26" x14ac:dyDescent="0.2">
      <c r="A28" t="s">
        <v>170</v>
      </c>
      <c r="E28" t="s">
        <v>173</v>
      </c>
      <c r="I28" t="s">
        <v>136</v>
      </c>
      <c r="M28" t="s">
        <v>135</v>
      </c>
      <c r="Q28" t="s">
        <v>128</v>
      </c>
      <c r="U28" t="s">
        <v>38</v>
      </c>
      <c r="Y28" t="s">
        <v>164</v>
      </c>
    </row>
    <row r="29" spans="1:26" x14ac:dyDescent="0.2">
      <c r="A29" t="s">
        <v>171</v>
      </c>
      <c r="E29" t="s">
        <v>175</v>
      </c>
      <c r="I29" t="s">
        <v>137</v>
      </c>
      <c r="M29" t="s">
        <v>131</v>
      </c>
      <c r="Q29" t="s">
        <v>129</v>
      </c>
      <c r="U29" t="s">
        <v>142</v>
      </c>
      <c r="Y29" t="s">
        <v>165</v>
      </c>
    </row>
    <row r="30" spans="1:26" x14ac:dyDescent="0.2">
      <c r="A30" t="s">
        <v>172</v>
      </c>
      <c r="E30" t="s">
        <v>176</v>
      </c>
      <c r="I30" t="s">
        <v>138</v>
      </c>
      <c r="M30" t="s">
        <v>132</v>
      </c>
      <c r="Q30" t="s">
        <v>130</v>
      </c>
      <c r="U30" t="s">
        <v>143</v>
      </c>
      <c r="Y30" t="s">
        <v>166</v>
      </c>
    </row>
    <row r="31" spans="1:26" x14ac:dyDescent="0.2">
      <c r="A31" s="2" t="s">
        <v>4</v>
      </c>
      <c r="B31" s="3">
        <f>AVERAGE(0.398,0.34,0.32)</f>
        <v>0.35266666666666668</v>
      </c>
      <c r="E31" s="2" t="s">
        <v>4</v>
      </c>
      <c r="F31" s="3">
        <f>AVERAGE(0.41,0.39,0.47)</f>
        <v>0.42333333333333334</v>
      </c>
      <c r="I31" s="2" t="s">
        <v>4</v>
      </c>
      <c r="J31" s="3">
        <f>AVERAGE(0.6,0.64,0.61)</f>
        <v>0.6166666666666667</v>
      </c>
      <c r="M31" s="2" t="s">
        <v>4</v>
      </c>
      <c r="N31" s="3">
        <f>AVERAGE(0.69,0.66,0.67)</f>
        <v>0.67333333333333334</v>
      </c>
      <c r="Q31" s="2" t="s">
        <v>4</v>
      </c>
      <c r="R31" s="3">
        <f>AVERAGE(0.71,0.7,0.74)</f>
        <v>0.71666666666666667</v>
      </c>
      <c r="U31" s="2" t="s">
        <v>4</v>
      </c>
      <c r="V31" s="3">
        <f>AVERAGE(0.98,0.99,0.94)</f>
        <v>0.97000000000000008</v>
      </c>
      <c r="Y31" s="2" t="s">
        <v>4</v>
      </c>
      <c r="Z31" s="3">
        <f>AVERAGE(1.08,1.07,1.03)</f>
        <v>1.0600000000000003</v>
      </c>
    </row>
    <row r="32" spans="1:26" x14ac:dyDescent="0.2">
      <c r="A32" s="2" t="s">
        <v>6</v>
      </c>
      <c r="B32" s="4">
        <f>_xlfn.STDEV.S(0.015,0.019,0.017)</f>
        <v>2E-3</v>
      </c>
      <c r="E32" s="2" t="s">
        <v>6</v>
      </c>
      <c r="F32" s="4">
        <f>_xlfn.STDEV.S(0.016,0.016,0.017)</f>
        <v>5.7735026918962634E-4</v>
      </c>
      <c r="I32" s="2" t="s">
        <v>6</v>
      </c>
      <c r="J32" s="4">
        <f>_xlfn.STDEV.S(0.014,0.013,0.013)</f>
        <v>5.7735026918962623E-4</v>
      </c>
      <c r="M32" s="2" t="s">
        <v>6</v>
      </c>
      <c r="N32" s="4">
        <f>_xlfn.STDEV.S(0.013,0.013,0.012)</f>
        <v>5.7735026918962525E-4</v>
      </c>
      <c r="Q32" s="2" t="s">
        <v>6</v>
      </c>
      <c r="R32" s="4">
        <f>_xlfn.STDEV.S(0.013,0.013,0.011)</f>
        <v>1.1547005383792516E-3</v>
      </c>
      <c r="U32" s="2" t="s">
        <v>6</v>
      </c>
      <c r="V32" s="4">
        <v>0</v>
      </c>
      <c r="Y32" s="2" t="s">
        <v>6</v>
      </c>
      <c r="Z32" s="4">
        <f>_xlfn.STDEV.S(0.013,0.013,0.011)</f>
        <v>1.1547005383792516E-3</v>
      </c>
    </row>
    <row r="34" spans="5:25" x14ac:dyDescent="0.2">
      <c r="E34" s="13" t="s">
        <v>64</v>
      </c>
      <c r="F34" s="13"/>
      <c r="G34" s="13" t="s">
        <v>65</v>
      </c>
      <c r="H34" s="13"/>
      <c r="I34" s="13" t="s">
        <v>66</v>
      </c>
      <c r="J34" s="13"/>
      <c r="K34" s="13"/>
    </row>
    <row r="35" spans="5:25" x14ac:dyDescent="0.2">
      <c r="E35" s="14">
        <v>0.1</v>
      </c>
      <c r="F35" s="14"/>
      <c r="G35" s="14" t="s">
        <v>179</v>
      </c>
      <c r="H35" s="14"/>
      <c r="I35" s="14" t="s">
        <v>180</v>
      </c>
      <c r="J35" s="14"/>
      <c r="K35" s="14"/>
    </row>
    <row r="36" spans="5:25" x14ac:dyDescent="0.2">
      <c r="E36" s="14">
        <v>0.25</v>
      </c>
      <c r="F36" s="14"/>
      <c r="G36" s="14" t="s">
        <v>181</v>
      </c>
      <c r="H36" s="14"/>
      <c r="I36" s="14" t="s">
        <v>182</v>
      </c>
      <c r="J36" s="14"/>
      <c r="K36" s="14"/>
    </row>
    <row r="37" spans="5:25" x14ac:dyDescent="0.2">
      <c r="E37" s="14">
        <v>1</v>
      </c>
      <c r="F37" s="14"/>
      <c r="G37" s="14" t="s">
        <v>183</v>
      </c>
      <c r="H37" s="14"/>
      <c r="I37" s="14" t="s">
        <v>184</v>
      </c>
      <c r="J37" s="14"/>
      <c r="K37" s="14"/>
      <c r="Y37" s="8"/>
    </row>
    <row r="38" spans="5:25" x14ac:dyDescent="0.2">
      <c r="E38" s="14">
        <v>2</v>
      </c>
      <c r="F38" s="14"/>
      <c r="G38" s="14" t="s">
        <v>190</v>
      </c>
      <c r="H38" s="14"/>
      <c r="I38" s="14" t="s">
        <v>185</v>
      </c>
      <c r="J38" s="14"/>
      <c r="K38" s="14"/>
      <c r="Y38" s="8"/>
    </row>
    <row r="39" spans="5:25" x14ac:dyDescent="0.2">
      <c r="E39" s="14">
        <v>3</v>
      </c>
      <c r="F39" s="14"/>
      <c r="G39" s="14" t="s">
        <v>188</v>
      </c>
      <c r="H39" s="14"/>
      <c r="I39" s="14" t="s">
        <v>186</v>
      </c>
      <c r="J39" s="14"/>
      <c r="K39" s="14"/>
      <c r="Y39" s="8"/>
    </row>
    <row r="40" spans="5:25" x14ac:dyDescent="0.2">
      <c r="E40" s="14">
        <v>5</v>
      </c>
      <c r="F40" s="14"/>
      <c r="G40" s="14" t="s">
        <v>187</v>
      </c>
      <c r="H40" s="14"/>
      <c r="I40" s="14" t="s">
        <v>191</v>
      </c>
      <c r="J40" s="14"/>
      <c r="K40" s="14"/>
      <c r="Y40" s="8"/>
    </row>
    <row r="41" spans="5:25" x14ac:dyDescent="0.2">
      <c r="E41" s="14">
        <v>10</v>
      </c>
      <c r="F41" s="14"/>
      <c r="G41" s="14" t="s">
        <v>189</v>
      </c>
      <c r="H41" s="14"/>
      <c r="I41" s="14" t="s">
        <v>192</v>
      </c>
      <c r="J41" s="14"/>
      <c r="K41" s="14"/>
      <c r="Y41" s="8"/>
    </row>
    <row r="43" spans="5:25" x14ac:dyDescent="0.2">
      <c r="Y43" s="9"/>
    </row>
    <row r="45" spans="5:25" x14ac:dyDescent="0.2">
      <c r="E45" s="10" t="s">
        <v>193</v>
      </c>
      <c r="F45" s="10" t="s">
        <v>65</v>
      </c>
      <c r="G45" s="10" t="s">
        <v>66</v>
      </c>
      <c r="Y45" s="8"/>
    </row>
    <row r="46" spans="5:25" x14ac:dyDescent="0.2">
      <c r="E46">
        <v>0.1</v>
      </c>
      <c r="F46">
        <v>0.65</v>
      </c>
      <c r="G46">
        <v>0.35</v>
      </c>
    </row>
    <row r="47" spans="5:25" x14ac:dyDescent="0.2">
      <c r="E47">
        <v>0.25</v>
      </c>
      <c r="F47">
        <v>0.98</v>
      </c>
      <c r="G47">
        <v>0.42</v>
      </c>
    </row>
    <row r="48" spans="5:25" x14ac:dyDescent="0.2">
      <c r="E48">
        <v>1</v>
      </c>
      <c r="F48">
        <v>1.29</v>
      </c>
      <c r="G48">
        <v>0.62</v>
      </c>
    </row>
    <row r="49" spans="5:25" x14ac:dyDescent="0.2">
      <c r="E49">
        <v>2</v>
      </c>
      <c r="F49">
        <v>1.7</v>
      </c>
      <c r="G49">
        <v>0.67</v>
      </c>
    </row>
    <row r="50" spans="5:25" x14ac:dyDescent="0.2">
      <c r="E50">
        <v>3</v>
      </c>
      <c r="F50">
        <v>1.93</v>
      </c>
      <c r="G50">
        <v>0.72</v>
      </c>
    </row>
    <row r="51" spans="5:25" x14ac:dyDescent="0.2">
      <c r="E51">
        <v>5</v>
      </c>
      <c r="F51">
        <v>2.36</v>
      </c>
      <c r="G51">
        <v>0.97</v>
      </c>
    </row>
    <row r="52" spans="5:25" x14ac:dyDescent="0.2">
      <c r="E52">
        <v>10</v>
      </c>
      <c r="F52">
        <v>3.79</v>
      </c>
      <c r="G52">
        <v>1.06</v>
      </c>
      <c r="Y52" s="9"/>
    </row>
    <row r="53" spans="5:25" x14ac:dyDescent="0.2">
      <c r="Y53" s="8"/>
    </row>
  </sheetData>
  <mergeCells count="41">
    <mergeCell ref="E41:F41"/>
    <mergeCell ref="G41:H41"/>
    <mergeCell ref="I41:K41"/>
    <mergeCell ref="Y14:Z14"/>
    <mergeCell ref="Y24:Z24"/>
    <mergeCell ref="G39:H39"/>
    <mergeCell ref="I39:K39"/>
    <mergeCell ref="E40:F40"/>
    <mergeCell ref="G40:H40"/>
    <mergeCell ref="I40:K40"/>
    <mergeCell ref="G37:H37"/>
    <mergeCell ref="I37:K37"/>
    <mergeCell ref="G38:H38"/>
    <mergeCell ref="I38:K38"/>
    <mergeCell ref="G36:H36"/>
    <mergeCell ref="I36:K36"/>
    <mergeCell ref="E39:F39"/>
    <mergeCell ref="E37:F37"/>
    <mergeCell ref="E38:F38"/>
    <mergeCell ref="E36:F36"/>
    <mergeCell ref="I23:R23"/>
    <mergeCell ref="I24:J24"/>
    <mergeCell ref="M24:N24"/>
    <mergeCell ref="Q24:R24"/>
    <mergeCell ref="E35:F35"/>
    <mergeCell ref="G35:H35"/>
    <mergeCell ref="I35:K35"/>
    <mergeCell ref="A14:B14"/>
    <mergeCell ref="E14:F14"/>
    <mergeCell ref="A24:B24"/>
    <mergeCell ref="E24:F24"/>
    <mergeCell ref="U24:V24"/>
    <mergeCell ref="E34:F34"/>
    <mergeCell ref="G34:H34"/>
    <mergeCell ref="I34:K34"/>
    <mergeCell ref="I4:R4"/>
    <mergeCell ref="I13:W13"/>
    <mergeCell ref="I14:J14"/>
    <mergeCell ref="M14:N14"/>
    <mergeCell ref="Q14:R14"/>
    <mergeCell ref="U14:V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11-10-2025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Microsoft Office User</cp:lastModifiedBy>
  <dcterms:created xsi:type="dcterms:W3CDTF">2025-11-07T18:55:49Z</dcterms:created>
  <dcterms:modified xsi:type="dcterms:W3CDTF">2026-03-25T17:15:27Z</dcterms:modified>
</cp:coreProperties>
</file>
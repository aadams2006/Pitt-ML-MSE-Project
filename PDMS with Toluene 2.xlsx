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FAJER UD/Li Lab/PDMS+ Toluene/65 PDMS with Toluene/"/>
    </mc:Choice>
  </mc:AlternateContent>
  <xr:revisionPtr revIDLastSave="0" documentId="13_ncr:1_{EDB3AB5D-E985-0444-8C9E-E3579C9B3C41}" xr6:coauthVersionLast="36" xr6:coauthVersionMax="36" xr10:uidLastSave="{00000000-0000-0000-0000-000000000000}"/>
  <bookViews>
    <workbookView xWindow="740" yWindow="840" windowWidth="26700" windowHeight="14520" tabRatio="674" firstSheet="15" activeTab="20" xr2:uid="{00000000-000D-0000-FFFF-FFFF00000000}"/>
  </bookViews>
  <sheets>
    <sheet name="6.12.2025" sheetId="4" r:id="rId1"/>
    <sheet name="Si 6.18.2025" sheetId="1" r:id="rId2"/>
    <sheet name="Repeat 6.19" sheetId="5" r:id="rId3"/>
    <sheet name="New Sol. 6.20 " sheetId="8" r:id="rId4"/>
    <sheet name="New Sol. 6.20 (1)" sheetId="10" r:id="rId5"/>
    <sheet name="New Sol. 6.20 (2)" sheetId="9" r:id="rId6"/>
    <sheet name="New set wafers. 6.21" sheetId="6" r:id="rId7"/>
    <sheet name="New set 07.01" sheetId="11" r:id="rId8"/>
    <sheet name="New Set Wafer 7.30.2025" sheetId="12" r:id="rId9"/>
    <sheet name="8.5.2025 washed" sheetId="14" r:id="rId10"/>
    <sheet name="8.5.2025 unwashed" sheetId="13" r:id="rId11"/>
    <sheet name="Vertrel" sheetId="16" r:id="rId12"/>
    <sheet name="8.26.25Fresh Sol." sheetId="17" r:id="rId13"/>
    <sheet name="Sonication &amp;heat" sheetId="18" r:id="rId14"/>
    <sheet name="lower concentration10-17" sheetId="3" r:id="rId15"/>
    <sheet name="lower concentration 10-21" sheetId="20" r:id="rId16"/>
    <sheet name="lower concentration 10-23" sheetId="21" r:id="rId17"/>
    <sheet name="All 10-31-2025" sheetId="19" r:id="rId18"/>
    <sheet name="11-04" sheetId="22" r:id="rId19"/>
    <sheet name="Sheet1" sheetId="23" r:id="rId20"/>
    <sheet name="Sheet2" sheetId="24" r:id="rId21"/>
  </sheets>
  <calcPr calcId="181029"/>
</workbook>
</file>

<file path=xl/calcChain.xml><?xml version="1.0" encoding="utf-8"?>
<calcChain xmlns="http://schemas.openxmlformats.org/spreadsheetml/2006/main">
  <c r="E19" i="24" l="1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G43" i="23" l="1"/>
  <c r="G42" i="23"/>
  <c r="C30" i="23"/>
  <c r="C29" i="23"/>
  <c r="G30" i="23"/>
  <c r="G29" i="23"/>
  <c r="L14" i="23"/>
  <c r="C43" i="23"/>
  <c r="Y42" i="22" l="1"/>
  <c r="AG42" i="22"/>
  <c r="AO29" i="22"/>
  <c r="AK29" i="22"/>
  <c r="AG29" i="22"/>
  <c r="AC42" i="22"/>
  <c r="V42" i="22"/>
  <c r="Q43" i="22"/>
  <c r="Q42" i="22"/>
  <c r="N42" i="22"/>
  <c r="J43" i="22"/>
  <c r="J42" i="22"/>
  <c r="F42" i="22"/>
  <c r="B42" i="22"/>
  <c r="AP14" i="22"/>
  <c r="AI14" i="22"/>
  <c r="AC29" i="22"/>
  <c r="Y30" i="22"/>
  <c r="Y29" i="22"/>
  <c r="V30" i="22"/>
  <c r="V29" i="22"/>
  <c r="Q29" i="22"/>
  <c r="N29" i="22"/>
  <c r="J30" i="22"/>
  <c r="J29" i="22"/>
  <c r="F30" i="22"/>
  <c r="B30" i="22"/>
  <c r="B29" i="22"/>
  <c r="X14" i="22"/>
  <c r="G14" i="22"/>
  <c r="BD14" i="22"/>
  <c r="BI43" i="22"/>
  <c r="BI42" i="22"/>
  <c r="BI30" i="22"/>
  <c r="BI29" i="22"/>
  <c r="BE43" i="22"/>
  <c r="BE42" i="22"/>
  <c r="BE30" i="22"/>
  <c r="BE29" i="22"/>
  <c r="BA43" i="22"/>
  <c r="BA42" i="22"/>
  <c r="BA30" i="22"/>
  <c r="BA29" i="22"/>
  <c r="AW43" i="22"/>
  <c r="AW42" i="22"/>
  <c r="AW30" i="22"/>
  <c r="AW29" i="22"/>
  <c r="AS43" i="22"/>
  <c r="AS42" i="22"/>
  <c r="AS30" i="22"/>
  <c r="AS29" i="22"/>
  <c r="AO43" i="22"/>
  <c r="AO42" i="22"/>
  <c r="AO30" i="22"/>
  <c r="AK43" i="22"/>
  <c r="AK42" i="22"/>
  <c r="AK30" i="22"/>
  <c r="AG43" i="22"/>
  <c r="AG30" i="22"/>
  <c r="AC43" i="22"/>
  <c r="Y43" i="22"/>
  <c r="V43" i="22"/>
  <c r="N43" i="22"/>
  <c r="F43" i="22"/>
  <c r="B43" i="22"/>
  <c r="AC30" i="22"/>
  <c r="Q30" i="22"/>
  <c r="Y29" i="19" l="1"/>
  <c r="V29" i="19"/>
  <c r="Q29" i="19"/>
  <c r="J30" i="19"/>
  <c r="J29" i="19"/>
  <c r="F30" i="19"/>
  <c r="F29" i="19"/>
  <c r="B30" i="19"/>
  <c r="B29" i="19"/>
  <c r="X14" i="19"/>
  <c r="G14" i="19"/>
  <c r="AC30" i="19"/>
  <c r="AC29" i="19"/>
  <c r="Y30" i="19"/>
  <c r="V30" i="19"/>
  <c r="Q30" i="19"/>
  <c r="N30" i="19"/>
  <c r="V29" i="21" l="1"/>
  <c r="Q29" i="21"/>
  <c r="N29" i="21"/>
  <c r="J29" i="21"/>
  <c r="F30" i="21"/>
  <c r="F29" i="21"/>
  <c r="B29" i="21"/>
  <c r="V14" i="21"/>
  <c r="Q14" i="21"/>
  <c r="N14" i="21"/>
  <c r="F14" i="21"/>
  <c r="B14" i="21"/>
  <c r="J30" i="21"/>
  <c r="V30" i="21"/>
  <c r="Q30" i="21"/>
  <c r="N30" i="21"/>
  <c r="B30" i="21"/>
  <c r="AA14" i="21"/>
  <c r="AA26" i="20" l="1"/>
  <c r="B43" i="20"/>
  <c r="B42" i="20"/>
  <c r="AA14" i="20"/>
  <c r="B29" i="20"/>
  <c r="V43" i="20"/>
  <c r="V42" i="20"/>
  <c r="Q43" i="20"/>
  <c r="Q42" i="20"/>
  <c r="N43" i="20"/>
  <c r="J43" i="20"/>
  <c r="J42" i="20"/>
  <c r="F43" i="20"/>
  <c r="Q30" i="20"/>
  <c r="Q29" i="20"/>
  <c r="N30" i="20"/>
  <c r="N29" i="20"/>
  <c r="J29" i="20"/>
  <c r="F30" i="20"/>
  <c r="F29" i="20"/>
  <c r="B30" i="20"/>
  <c r="V30" i="20"/>
  <c r="V29" i="20"/>
  <c r="V14" i="20"/>
  <c r="Q14" i="20"/>
  <c r="N14" i="20"/>
  <c r="J14" i="20"/>
  <c r="F14" i="20"/>
  <c r="B14" i="20"/>
  <c r="J30" i="20"/>
  <c r="S62" i="3" l="1"/>
  <c r="O63" i="3"/>
  <c r="O62" i="3"/>
  <c r="K62" i="3"/>
  <c r="G63" i="3"/>
  <c r="G62" i="3"/>
  <c r="C62" i="3"/>
  <c r="S63" i="3"/>
  <c r="K63" i="3"/>
  <c r="C63" i="3"/>
  <c r="S50" i="3"/>
  <c r="S49" i="3"/>
  <c r="K50" i="3"/>
  <c r="K49" i="3"/>
  <c r="G50" i="3"/>
  <c r="G49" i="3"/>
  <c r="C50" i="3"/>
  <c r="C49" i="3"/>
  <c r="S36" i="3"/>
  <c r="G36" i="3"/>
  <c r="K36" i="3"/>
  <c r="O37" i="3"/>
  <c r="O36" i="3"/>
  <c r="G37" i="3"/>
  <c r="O50" i="3"/>
  <c r="S37" i="3"/>
  <c r="K37" i="3"/>
  <c r="C37" i="3"/>
  <c r="C36" i="3"/>
  <c r="S14" i="3"/>
  <c r="O14" i="3"/>
  <c r="K14" i="3"/>
  <c r="G14" i="3"/>
  <c r="C14" i="3"/>
  <c r="F52" i="14" l="1"/>
  <c r="AJ42" i="13"/>
  <c r="Z69" i="6"/>
  <c r="V69" i="6"/>
  <c r="F69" i="6"/>
  <c r="B69" i="6"/>
  <c r="J69" i="6"/>
  <c r="Z38" i="6"/>
  <c r="V38" i="6"/>
  <c r="R38" i="6"/>
  <c r="N38" i="6"/>
  <c r="B38" i="6"/>
  <c r="J52" i="6"/>
  <c r="Z52" i="6"/>
  <c r="V52" i="6"/>
  <c r="R52" i="6"/>
  <c r="N52" i="6"/>
  <c r="B52" i="6"/>
  <c r="J58" i="11"/>
  <c r="F58" i="11"/>
  <c r="B58" i="11"/>
  <c r="Z58" i="11"/>
  <c r="V58" i="11"/>
  <c r="R58" i="11"/>
  <c r="N58" i="11"/>
  <c r="V16" i="9"/>
  <c r="R16" i="9"/>
  <c r="N16" i="9"/>
  <c r="F16" i="9"/>
  <c r="B16" i="9"/>
  <c r="T16" i="18" l="1"/>
  <c r="Q16" i="18"/>
  <c r="N16" i="18"/>
  <c r="E16" i="18"/>
  <c r="T29" i="18" l="1"/>
  <c r="Q29" i="18"/>
  <c r="N29" i="18"/>
  <c r="K29" i="18"/>
  <c r="H29" i="18"/>
  <c r="E29" i="18"/>
  <c r="B29" i="18"/>
  <c r="T28" i="18"/>
  <c r="Q28" i="18"/>
  <c r="N28" i="18"/>
  <c r="K28" i="18"/>
  <c r="H28" i="18"/>
  <c r="E28" i="18"/>
  <c r="B28" i="18"/>
  <c r="J60" i="17"/>
  <c r="F60" i="17"/>
  <c r="J59" i="17"/>
  <c r="F59" i="17"/>
  <c r="O43" i="17" l="1"/>
  <c r="J43" i="17"/>
  <c r="F43" i="17"/>
  <c r="B43" i="17"/>
  <c r="O44" i="17"/>
  <c r="J44" i="17"/>
  <c r="F44" i="17"/>
  <c r="F66" i="16"/>
  <c r="J66" i="16"/>
  <c r="N66" i="16"/>
  <c r="R66" i="16"/>
  <c r="R67" i="16"/>
  <c r="N67" i="16"/>
  <c r="J67" i="16"/>
  <c r="F67" i="16"/>
  <c r="R54" i="16"/>
  <c r="J54" i="16"/>
  <c r="F55" i="16"/>
  <c r="F54" i="16"/>
  <c r="R55" i="16"/>
  <c r="N55" i="16"/>
  <c r="J55" i="16"/>
  <c r="K29" i="17" l="1"/>
  <c r="K28" i="17"/>
  <c r="F29" i="17"/>
  <c r="F28" i="17"/>
  <c r="B29" i="17"/>
  <c r="B28" i="17"/>
  <c r="K16" i="17"/>
  <c r="F16" i="17"/>
  <c r="B17" i="17"/>
  <c r="B16" i="17"/>
  <c r="F43" i="16" l="1"/>
  <c r="F42" i="16"/>
  <c r="R43" i="16"/>
  <c r="R42" i="16"/>
  <c r="N43" i="16"/>
  <c r="N42" i="16"/>
  <c r="J43" i="16"/>
  <c r="J42" i="16"/>
  <c r="R30" i="16"/>
  <c r="N30" i="16"/>
  <c r="J30" i="16"/>
  <c r="F30" i="16"/>
  <c r="R29" i="16"/>
  <c r="N29" i="16"/>
  <c r="J29" i="16"/>
  <c r="F29" i="16"/>
  <c r="R17" i="16"/>
  <c r="N17" i="16"/>
  <c r="J17" i="16"/>
  <c r="F17" i="16"/>
  <c r="B17" i="16"/>
  <c r="R16" i="16"/>
  <c r="N16" i="16"/>
  <c r="J16" i="16"/>
  <c r="F16" i="16"/>
  <c r="B16" i="16"/>
  <c r="AE68" i="13" l="1"/>
  <c r="AE67" i="13"/>
  <c r="Z67" i="13"/>
  <c r="U68" i="13"/>
  <c r="U67" i="13"/>
  <c r="P68" i="13"/>
  <c r="P67" i="13"/>
  <c r="K67" i="13"/>
  <c r="F68" i="13"/>
  <c r="F67" i="13"/>
  <c r="AE55" i="13" l="1"/>
  <c r="AE54" i="13"/>
  <c r="Z55" i="13"/>
  <c r="Z54" i="13"/>
  <c r="U55" i="13"/>
  <c r="U54" i="13"/>
  <c r="P55" i="13"/>
  <c r="P54" i="13"/>
  <c r="F55" i="13"/>
  <c r="F54" i="13"/>
  <c r="K54" i="13"/>
  <c r="K55" i="13"/>
  <c r="AJ68" i="13"/>
  <c r="Z68" i="13"/>
  <c r="K68" i="13"/>
  <c r="AJ67" i="13"/>
  <c r="AJ55" i="13"/>
  <c r="AJ54" i="13"/>
  <c r="K53" i="14" l="1"/>
  <c r="K52" i="14"/>
  <c r="F53" i="14"/>
  <c r="K39" i="14"/>
  <c r="K38" i="14"/>
  <c r="F39" i="14"/>
  <c r="F38" i="14"/>
  <c r="F42" i="13"/>
  <c r="F41" i="13"/>
  <c r="K42" i="13"/>
  <c r="K41" i="13"/>
  <c r="F25" i="14" l="1"/>
  <c r="K26" i="14"/>
  <c r="K25" i="14"/>
  <c r="AJ26" i="14"/>
  <c r="AE26" i="14"/>
  <c r="Z26" i="14"/>
  <c r="U26" i="14"/>
  <c r="F26" i="14"/>
  <c r="P53" i="14"/>
  <c r="P52" i="14"/>
  <c r="U53" i="14"/>
  <c r="U52" i="14"/>
  <c r="AE53" i="14"/>
  <c r="AE52" i="14"/>
  <c r="Z53" i="14"/>
  <c r="Z52" i="14"/>
  <c r="AJ67" i="14"/>
  <c r="AE67" i="14"/>
  <c r="Z67" i="14"/>
  <c r="U67" i="14"/>
  <c r="P67" i="14"/>
  <c r="K67" i="14"/>
  <c r="F67" i="14"/>
  <c r="AJ66" i="14"/>
  <c r="AE66" i="14"/>
  <c r="Z66" i="14"/>
  <c r="U66" i="14"/>
  <c r="P66" i="14"/>
  <c r="K66" i="14"/>
  <c r="F66" i="14"/>
  <c r="AJ53" i="14"/>
  <c r="AJ52" i="14"/>
  <c r="P42" i="13"/>
  <c r="P41" i="13"/>
  <c r="U42" i="13"/>
  <c r="U41" i="13"/>
  <c r="K29" i="13"/>
  <c r="P29" i="13"/>
  <c r="U29" i="13"/>
  <c r="AJ29" i="13"/>
  <c r="AE29" i="13"/>
  <c r="Z29" i="13"/>
  <c r="Z42" i="13"/>
  <c r="Z41" i="13"/>
  <c r="AE42" i="13"/>
  <c r="AE41" i="13"/>
  <c r="AJ41" i="13"/>
  <c r="AJ39" i="14"/>
  <c r="AJ38" i="14"/>
  <c r="AE39" i="14"/>
  <c r="AE38" i="14"/>
  <c r="Z39" i="14"/>
  <c r="Z38" i="14"/>
  <c r="U39" i="14"/>
  <c r="U38" i="14"/>
  <c r="P39" i="14"/>
  <c r="P38" i="14"/>
  <c r="K16" i="13"/>
  <c r="K13" i="14"/>
  <c r="AE25" i="14" l="1"/>
  <c r="Z25" i="14"/>
  <c r="U25" i="14"/>
  <c r="P25" i="14"/>
  <c r="P28" i="13"/>
  <c r="AE28" i="13"/>
  <c r="Z28" i="13"/>
  <c r="U28" i="13"/>
  <c r="AJ28" i="13"/>
  <c r="AJ25" i="14"/>
  <c r="P13" i="14"/>
  <c r="P16" i="13"/>
  <c r="U16" i="13"/>
  <c r="U13" i="14"/>
  <c r="Z16" i="13"/>
  <c r="Z13" i="14"/>
  <c r="AE13" i="14"/>
  <c r="AE16" i="13"/>
  <c r="AJ16" i="13"/>
  <c r="AJ13" i="14"/>
  <c r="F29" i="13" l="1"/>
  <c r="F28" i="13"/>
  <c r="K28" i="13"/>
  <c r="AA28" i="12"/>
  <c r="AA27" i="12"/>
  <c r="V28" i="12"/>
  <c r="V27" i="12"/>
  <c r="Q28" i="12"/>
  <c r="AK28" i="12"/>
  <c r="AF28" i="12"/>
  <c r="Q27" i="12"/>
  <c r="G28" i="12"/>
  <c r="G27" i="12"/>
  <c r="L28" i="12"/>
  <c r="L27" i="12"/>
  <c r="AK27" i="12"/>
  <c r="AK14" i="12"/>
  <c r="AF27" i="12"/>
  <c r="AF14" i="12"/>
  <c r="AA14" i="12" l="1"/>
  <c r="L14" i="12"/>
  <c r="AB3" i="12"/>
  <c r="M3" i="12"/>
  <c r="B30" i="12"/>
  <c r="Q14" i="12"/>
  <c r="V14" i="12"/>
  <c r="Z57" i="11" l="1"/>
  <c r="V57" i="11"/>
  <c r="R57" i="11"/>
  <c r="N57" i="11"/>
  <c r="J57" i="11"/>
  <c r="F57" i="11"/>
  <c r="B57" i="11"/>
  <c r="Z68" i="6" l="1"/>
  <c r="V68" i="6"/>
  <c r="R68" i="6"/>
  <c r="N68" i="6"/>
  <c r="J68" i="6"/>
  <c r="F68" i="6"/>
  <c r="Z42" i="11"/>
  <c r="R42" i="11"/>
  <c r="V42" i="11"/>
  <c r="N42" i="11"/>
  <c r="J42" i="11"/>
  <c r="F42" i="11"/>
  <c r="B42" i="11"/>
  <c r="B68" i="6"/>
  <c r="B16" i="12"/>
  <c r="Z29" i="11" l="1"/>
  <c r="Z44" i="11" s="1"/>
  <c r="Z59" i="11" s="1"/>
  <c r="V29" i="11"/>
  <c r="V44" i="11" s="1"/>
  <c r="V59" i="11" s="1"/>
  <c r="R29" i="11"/>
  <c r="R44" i="11" s="1"/>
  <c r="R59" i="11" s="1"/>
  <c r="N29" i="11"/>
  <c r="N44" i="11" s="1"/>
  <c r="N59" i="11" s="1"/>
  <c r="J29" i="11"/>
  <c r="J44" i="11" s="1"/>
  <c r="J59" i="11" s="1"/>
  <c r="F29" i="11"/>
  <c r="F44" i="11" s="1"/>
  <c r="F59" i="11" s="1"/>
  <c r="B29" i="11"/>
  <c r="B44" i="11" s="1"/>
  <c r="B59" i="11" s="1"/>
  <c r="T16" i="11"/>
  <c r="H16" i="11"/>
  <c r="B15" i="9" l="1"/>
  <c r="F15" i="9"/>
  <c r="J15" i="9"/>
  <c r="N15" i="9"/>
  <c r="R15" i="9"/>
  <c r="V15" i="9"/>
  <c r="V24" i="10"/>
  <c r="R24" i="10"/>
  <c r="N24" i="10"/>
  <c r="J24" i="10"/>
  <c r="F24" i="10"/>
  <c r="B24" i="10"/>
  <c r="V5" i="10"/>
  <c r="R5" i="10"/>
  <c r="N5" i="10"/>
  <c r="J5" i="10"/>
  <c r="E5" i="10"/>
  <c r="B5" i="10"/>
  <c r="J51" i="6"/>
  <c r="Z51" i="6"/>
  <c r="Z37" i="6"/>
  <c r="V51" i="6"/>
  <c r="R51" i="6"/>
  <c r="N51" i="6"/>
  <c r="F51" i="6"/>
  <c r="B51" i="6"/>
  <c r="Z19" i="6"/>
  <c r="R37" i="6"/>
  <c r="V37" i="6"/>
  <c r="N37" i="6"/>
  <c r="F37" i="6"/>
  <c r="J37" i="6"/>
  <c r="B37" i="6"/>
  <c r="V19" i="6"/>
  <c r="R19" i="6"/>
  <c r="J19" i="6"/>
  <c r="N19" i="6"/>
  <c r="F19" i="6"/>
  <c r="B19" i="6"/>
  <c r="V4" i="9"/>
  <c r="R4" i="9"/>
  <c r="N4" i="9"/>
  <c r="J4" i="9"/>
  <c r="E4" i="9"/>
  <c r="B4" i="9"/>
  <c r="V21" i="8" l="1"/>
  <c r="R21" i="8"/>
  <c r="N21" i="8"/>
  <c r="J21" i="8"/>
  <c r="F21" i="8"/>
  <c r="B21" i="8"/>
  <c r="V5" i="8"/>
  <c r="R5" i="8"/>
  <c r="N5" i="8"/>
  <c r="J5" i="8"/>
  <c r="E5" i="8"/>
  <c r="B5" i="8"/>
  <c r="O73" i="5" l="1"/>
  <c r="G73" i="5"/>
  <c r="X77" i="5"/>
  <c r="AA20" i="5"/>
  <c r="Z3" i="5"/>
  <c r="S91" i="5"/>
  <c r="S90" i="5"/>
  <c r="O101" i="5"/>
  <c r="G90" i="5"/>
  <c r="K90" i="5"/>
  <c r="O90" i="5"/>
  <c r="O20" i="5"/>
  <c r="W20" i="5"/>
  <c r="S20" i="5"/>
  <c r="K20" i="5"/>
  <c r="G20" i="5"/>
  <c r="C20" i="5"/>
  <c r="W14" i="1"/>
  <c r="S82" i="1"/>
  <c r="S14" i="1"/>
  <c r="O82" i="1"/>
  <c r="O14" i="1"/>
  <c r="K82" i="1"/>
  <c r="G82" i="1"/>
  <c r="C85" i="1"/>
  <c r="K14" i="1"/>
  <c r="G14" i="1"/>
  <c r="S71" i="1"/>
  <c r="O71" i="1"/>
  <c r="K71" i="1"/>
  <c r="G71" i="1"/>
  <c r="C71" i="1"/>
  <c r="W3" i="1" l="1"/>
  <c r="S3" i="1"/>
  <c r="O3" i="1"/>
  <c r="AD14" i="1"/>
  <c r="K3" i="1"/>
  <c r="G3" i="1"/>
  <c r="AA14" i="1"/>
  <c r="C15" i="1"/>
  <c r="C14" i="1"/>
  <c r="O14" i="4" l="1"/>
  <c r="K14" i="4"/>
  <c r="G14" i="4"/>
  <c r="S14" i="4"/>
  <c r="C14" i="4"/>
</calcChain>
</file>

<file path=xl/sharedStrings.xml><?xml version="1.0" encoding="utf-8"?>
<sst xmlns="http://schemas.openxmlformats.org/spreadsheetml/2006/main" count="2968" uniqueCount="1424">
  <si>
    <t xml:space="preserve">Si Wafer </t>
  </si>
  <si>
    <t>65cst PDMS with Toluene</t>
  </si>
  <si>
    <t>uncoated</t>
  </si>
  <si>
    <t>Ave.=</t>
  </si>
  <si>
    <t>0.25 g/L</t>
  </si>
  <si>
    <t>0.1 g/L</t>
  </si>
  <si>
    <t>0.35 g/L</t>
  </si>
  <si>
    <t>0.5 g/L</t>
  </si>
  <si>
    <t>MSE = 1.871</t>
  </si>
  <si>
    <t>Native Oxide = 1.43 ± 0.008 nm</t>
  </si>
  <si>
    <t>MSE = 1.793</t>
  </si>
  <si>
    <t>Native Oxide = 1.42 ± 0.007 nm</t>
  </si>
  <si>
    <t>MSE = 1.818</t>
  </si>
  <si>
    <t>Native Oxide = 1.41 ± 0.007 nm</t>
  </si>
  <si>
    <t>20 seconds</t>
  </si>
  <si>
    <t>MSE = 1.693</t>
  </si>
  <si>
    <t>Thickness # 2 = 0.86 ± 0.008 nm</t>
  </si>
  <si>
    <t>MSE = 1.765</t>
  </si>
  <si>
    <t>Thickness # 2 = 0.91 ± 0.009 nm</t>
  </si>
  <si>
    <t>MSE = 1.799</t>
  </si>
  <si>
    <t>Thickness # 2 = 0.89 ± 0.009 nm</t>
  </si>
  <si>
    <t>MSE = 1.810</t>
  </si>
  <si>
    <t>Thickness # 2 = 0.86 ± 0.009 nm</t>
  </si>
  <si>
    <t>MSE = 1.685</t>
  </si>
  <si>
    <t>Thickness # 2 = 0.82 ± 0.008 nm</t>
  </si>
  <si>
    <t>MSE = 1.769</t>
  </si>
  <si>
    <t>Thickness # 2 = 0.90 ± 0.009 nm</t>
  </si>
  <si>
    <t>MSE = 1.840</t>
  </si>
  <si>
    <t>Thickness # 2 = 0.74 ± 0.009 nm</t>
  </si>
  <si>
    <t>MSE = 1.804</t>
  </si>
  <si>
    <t>Thickness # 2 = 0.78 ± 0.009 nm</t>
  </si>
  <si>
    <t>MSE = 1.820</t>
  </si>
  <si>
    <t>Thickness # 2 = 0.80 ± 0.009 nm</t>
  </si>
  <si>
    <t>65cst+Tolune 0.5gL before wash 20 s</t>
  </si>
  <si>
    <t>MSE = 1.813</t>
  </si>
  <si>
    <t>Thickness # 2 = 1.01 ± 0.009 nm</t>
  </si>
  <si>
    <t>MSE = 1.657</t>
  </si>
  <si>
    <t>Thickness # 2 = 1.00 ± 0.008 nm</t>
  </si>
  <si>
    <t>MSE = 1.733</t>
  </si>
  <si>
    <t>Total Thickness</t>
  </si>
  <si>
    <t>0.7 g/L</t>
  </si>
  <si>
    <t>Bonded Thickness (After Toluene Wash)</t>
  </si>
  <si>
    <t>MSE = 1.852</t>
  </si>
  <si>
    <t>Native Oxide = 1.30 ± 0.008 nm</t>
  </si>
  <si>
    <t>MSE = 1.527</t>
  </si>
  <si>
    <t>Native Oxide = 1.29 ± 0.006 nm</t>
  </si>
  <si>
    <t>MSE = 1.599</t>
  </si>
  <si>
    <t>Native Oxide = 1.30 ± 0.007 nm</t>
  </si>
  <si>
    <t>0.5g/L</t>
  </si>
  <si>
    <t>MSE = 1.172</t>
  </si>
  <si>
    <t>Native Oxide = 1.47 ± 0.005 nm</t>
  </si>
  <si>
    <t>MSE = 1.271</t>
  </si>
  <si>
    <t>Native Oxide = 1.50 ± 0.005 nm</t>
  </si>
  <si>
    <t>MSE = 1.252</t>
  </si>
  <si>
    <t>Native Oxide = 1.48 ± 0.005 nm</t>
  </si>
  <si>
    <t>wafer 2</t>
  </si>
  <si>
    <t>wafer 3</t>
  </si>
  <si>
    <t>MSE = 1.119</t>
  </si>
  <si>
    <t>MSE = 1.227</t>
  </si>
  <si>
    <t>Native Oxide = 1.46 ± 0.005 nm</t>
  </si>
  <si>
    <t>MSE = 1.190</t>
  </si>
  <si>
    <t>Si wafers coated with PDMS but not washed</t>
  </si>
  <si>
    <t>MSE = 1.529</t>
  </si>
  <si>
    <t>Thickness # 2 = 0.96 ± 0.007 nm</t>
  </si>
  <si>
    <t>MSE = 2.263</t>
  </si>
  <si>
    <t>Thickness # 2 = 1.03 ± 0.011 nm</t>
  </si>
  <si>
    <t>MSE = 1.557</t>
  </si>
  <si>
    <t>Thickness # 2 = 0.40 ± 0.007 nm</t>
  </si>
  <si>
    <t xml:space="preserve">center bottom of the wafer sample </t>
  </si>
  <si>
    <t>top side of the sample</t>
  </si>
  <si>
    <t>MSE = 1.505</t>
  </si>
  <si>
    <t>Thickness # 2 = 0.92 ± 0.007 nm</t>
  </si>
  <si>
    <t>MSE = 1.377</t>
  </si>
  <si>
    <t>Thickness # 2 = 0.93 ± 0.007 nm</t>
  </si>
  <si>
    <t>MSE = 1.399</t>
  </si>
  <si>
    <t>Thickness # 2 = 0.84 ± 0.007 nm</t>
  </si>
  <si>
    <t>MSE = 1.284</t>
  </si>
  <si>
    <t>Thickness # 2 = 0.90 ± 0.006 nm</t>
  </si>
  <si>
    <t>MSE = 1.605</t>
  </si>
  <si>
    <t>MSE = 1.267</t>
  </si>
  <si>
    <t>Thickness # 2 = 0.94 ± 0.006 nm</t>
  </si>
  <si>
    <t>MSE = 1.322</t>
  </si>
  <si>
    <t>Thickness # 2 = 0.95 ± 0.006 nm</t>
  </si>
  <si>
    <t>MSE = 1.356</t>
  </si>
  <si>
    <t>MSE = 1.567</t>
  </si>
  <si>
    <t>Thickness # 2 = 0.99 ± 0.008 nm</t>
  </si>
  <si>
    <t>MSE = 1.547</t>
  </si>
  <si>
    <t>Thickness # 2 = 1.03 ± 0.007 nm</t>
  </si>
  <si>
    <t>MSE = 1.534</t>
  </si>
  <si>
    <t>Thickness # 2 = 1.04 ± 0.007 nm</t>
  </si>
  <si>
    <t>MSE = 1.716</t>
  </si>
  <si>
    <t>Thickness # 2 = 1.27 ± 0.008 nm</t>
  </si>
  <si>
    <t>Thickness # 2 = 1.25 ± 0.008 nm</t>
  </si>
  <si>
    <t>MSE = 1.526</t>
  </si>
  <si>
    <t>Thickness # 2 = 1.25 ± 0.007 nm</t>
  </si>
  <si>
    <t>MSE = 1.260</t>
  </si>
  <si>
    <t>Thickness # 2 = 1.26 ± 0.006 nm</t>
  </si>
  <si>
    <t>MSE = 1.310</t>
  </si>
  <si>
    <t>Thickness # 2 = 1.28 ± 0.006 nm</t>
  </si>
  <si>
    <t>MSE = 1.268</t>
  </si>
  <si>
    <t>MSE = 1.219</t>
  </si>
  <si>
    <t>Thickness # 2 = 1.17 ± 0.006 nm</t>
  </si>
  <si>
    <t>MSE = 1.158</t>
  </si>
  <si>
    <t>MSE = 1.253</t>
  </si>
  <si>
    <t>Thickness # 2 = 1.16 ± 0.006 nm</t>
  </si>
  <si>
    <t>MSE = 1.317</t>
  </si>
  <si>
    <t>Thickness # 2 = 1.06 ± 0.006 nm</t>
  </si>
  <si>
    <t>MSE = 1.671</t>
  </si>
  <si>
    <t>Thickness # 2 = 1.19 ± 0.008 nm</t>
  </si>
  <si>
    <t>MSE = 1.246</t>
  </si>
  <si>
    <t>Thickness # 2 = 1.09 ± 0.006 nm</t>
  </si>
  <si>
    <t>Thickness # 2 = 0.72 ± 0.006 nm</t>
  </si>
  <si>
    <t>MSE = 1.352</t>
  </si>
  <si>
    <t>Thickness # 2 = 0.77 ± 0.007 nm</t>
  </si>
  <si>
    <t>MSE = 1.295</t>
  </si>
  <si>
    <t>Thickness # 2 = 0.80 ± 0.006 nm</t>
  </si>
  <si>
    <t>Thickness # 2 = 0.74 ± 0.006 nm</t>
  </si>
  <si>
    <t>MSE = 1.258</t>
  </si>
  <si>
    <t>Thickness # 2 = 0.76 ± 0.006 nm</t>
  </si>
  <si>
    <t>MSE = 1.899</t>
  </si>
  <si>
    <t>Native Oxide = 1.25 ± 0.008 nm</t>
  </si>
  <si>
    <t>MSE = 1.682</t>
  </si>
  <si>
    <t>Native Oxide = 1.24 ± 0.007 nm</t>
  </si>
  <si>
    <t>MSE = 1.836</t>
  </si>
  <si>
    <t>Native Oxide = 1.25 ± 0.007 nm</t>
  </si>
  <si>
    <t>MSE = 1.740</t>
  </si>
  <si>
    <t>Thickness # 2 = 0.98 ± 0.008 nm</t>
  </si>
  <si>
    <t>MSE = 1.739</t>
  </si>
  <si>
    <t>MSE = 1.504</t>
  </si>
  <si>
    <t>MSE = 2.042</t>
  </si>
  <si>
    <t>Thickness # 2 = 1.11 ± 0.010 nm</t>
  </si>
  <si>
    <t>MSE = 1.814</t>
  </si>
  <si>
    <t>Thickness # 2 = 1.14 ± 0.009 nm</t>
  </si>
  <si>
    <t>MSE = 2.509</t>
  </si>
  <si>
    <t>Thickness # 2 = 0.99 ± 0.012 nm</t>
  </si>
  <si>
    <t>MSE = 1.566</t>
  </si>
  <si>
    <t>Thickness # 2 = 1.14 ± 0.008 nm</t>
  </si>
  <si>
    <t>MSE = 2.010</t>
  </si>
  <si>
    <t>Thickness # 2 = 1.09 ± 0.010 nm</t>
  </si>
  <si>
    <t>MSE = 2.137</t>
  </si>
  <si>
    <t>Thickness # 2 = 1.21 ± 0.010 nm</t>
  </si>
  <si>
    <t>MSE = 1.790</t>
  </si>
  <si>
    <t>Thickness # 2 = 1.27 ± 0.009 nm</t>
  </si>
  <si>
    <t>MSE = 1.699</t>
  </si>
  <si>
    <t>Thickness # 2 = 1.21 ± 0.008 nm</t>
  </si>
  <si>
    <t>MSE = 1.711</t>
  </si>
  <si>
    <t>Thickness # 2 = 1.15 ± 0.008 nm</t>
  </si>
  <si>
    <t>MSE = 1.843</t>
  </si>
  <si>
    <t>Thickness # 2 = 1.11 ± 0.009 nm</t>
  </si>
  <si>
    <t>MSE = 1.805</t>
  </si>
  <si>
    <t>MSE = 1.607</t>
  </si>
  <si>
    <t>Thickness # 2 = 0.83 ± 0.008 nm</t>
  </si>
  <si>
    <t>MSE = 1.757</t>
  </si>
  <si>
    <t>MSE = 1.718</t>
  </si>
  <si>
    <t>Thickness # 2 = 1.03 ± 0.008 nm</t>
  </si>
  <si>
    <t>MSE = 1.642</t>
  </si>
  <si>
    <t>Thickness # 2 = 0.81 ± 0.008 nm</t>
  </si>
  <si>
    <t xml:space="preserve">New solution made 06/19/2025 </t>
  </si>
  <si>
    <t>was given ave. 0.8</t>
  </si>
  <si>
    <t>This results different than 06/18/2025 results</t>
  </si>
  <si>
    <t>MSE = 1.780</t>
  </si>
  <si>
    <t>Thickness # 2 = 1.10 ± 0.009 nm</t>
  </si>
  <si>
    <t>MSE = 1.787</t>
  </si>
  <si>
    <t>MSE = 1.550</t>
  </si>
  <si>
    <t>Thickness # 2 = 1.18 ± 0.007 nm</t>
  </si>
  <si>
    <t>MSE = 1.509</t>
  </si>
  <si>
    <t>Thickness # 2 = 1.09 ± 0.007 nm</t>
  </si>
  <si>
    <t>MSE = 1.654</t>
  </si>
  <si>
    <t>Thickness # 2 = 1.17 ± 0.008 nm</t>
  </si>
  <si>
    <t>0.9 g/L</t>
  </si>
  <si>
    <t>MSE = 1.656</t>
  </si>
  <si>
    <t>MSE = 1.749</t>
  </si>
  <si>
    <t>Thickness # 2 = 1.04 ± 0.008 nm</t>
  </si>
  <si>
    <t>MSE = 2.016</t>
  </si>
  <si>
    <t>Thickness # 2 = 0.96 ± 0.010 nm</t>
  </si>
  <si>
    <t>MSE = 1.608</t>
  </si>
  <si>
    <t>Thickness # 2 = 0.95 ± 0.008 nm</t>
  </si>
  <si>
    <t>Thickness # 2 = 0.92 ± 0.008 nm</t>
  </si>
  <si>
    <t>MSE = 1.848</t>
  </si>
  <si>
    <t>Thickness # 2 = 0.99 ± 0.009 nm</t>
  </si>
  <si>
    <t>MSE = 1.970</t>
  </si>
  <si>
    <t>Thickness # 2 = 0.88 ± 0.009 nm</t>
  </si>
  <si>
    <t>MSE = 1.786</t>
  </si>
  <si>
    <t>Thickness # 2 = 0.93 ± 0.009 nm</t>
  </si>
  <si>
    <t>MSE = 2.149</t>
  </si>
  <si>
    <t>Thickness # 2 = 0.91 ± 0.010 nm</t>
  </si>
  <si>
    <t>MSE = 1.564</t>
  </si>
  <si>
    <t>MSE = 1.703</t>
  </si>
  <si>
    <t>MSE = 1.631</t>
  </si>
  <si>
    <t>MSE = 1.869</t>
  </si>
  <si>
    <t>Thickness # 2 = 1.02 ± 0.009 nm</t>
  </si>
  <si>
    <t>MSE = 1.598</t>
  </si>
  <si>
    <t>Thickness # 2 = 1.12 ± 0.008 nm</t>
  </si>
  <si>
    <t>MSE = 1.675</t>
  </si>
  <si>
    <t>Thickness # 2 = 1.05 ± 0.008 nm</t>
  </si>
  <si>
    <t>MSE = 1.215</t>
  </si>
  <si>
    <t>Thickness # 2 = 0.70 ± 0.006 nm</t>
  </si>
  <si>
    <t>MSE = 1.205</t>
  </si>
  <si>
    <t>Thickness # 2 = 0.75 ± 0.006 nm</t>
  </si>
  <si>
    <t>MSE = 1.259</t>
  </si>
  <si>
    <t>MSE = 1.256</t>
  </si>
  <si>
    <t>new solution</t>
  </si>
  <si>
    <t xml:space="preserve">was given ave. </t>
  </si>
  <si>
    <t>MSE = 1.632</t>
  </si>
  <si>
    <t>MSE = 1.893</t>
  </si>
  <si>
    <t>Thickness # 2 = 0.83 ± 0.009 nm</t>
  </si>
  <si>
    <t>MSE = 1.651</t>
  </si>
  <si>
    <t>MSE = 1.670</t>
  </si>
  <si>
    <t>Thickness # 2 = 0.78 ± 0.008 nm</t>
  </si>
  <si>
    <t>MSE = 1.649</t>
  </si>
  <si>
    <t>Thickness # 2 = 0.93 ± 0.008 nm</t>
  </si>
  <si>
    <t>MSE = 1.697</t>
  </si>
  <si>
    <t>Thickness # 2 = 1.06 ± 0.008 nm</t>
  </si>
  <si>
    <t>Si wafer</t>
  </si>
  <si>
    <t xml:space="preserve">Repeated to check the thickness and I relized the different between the old bottle of Toluene we have in the lab and the new bottle of Toluene I ordered. </t>
  </si>
  <si>
    <t>So I will prepare new solutions and coate the Si wafer and get the measurments.</t>
  </si>
  <si>
    <t xml:space="preserve"> The Values of the thickness are vary between the solutions prepared with old and new bottles the new Toluene bottle gave values lower than the old one.</t>
  </si>
  <si>
    <t xml:space="preserve">old bottle </t>
  </si>
  <si>
    <t>Old bottle</t>
  </si>
  <si>
    <t>Start with the solutions prepared with the new Toluene bottle</t>
  </si>
  <si>
    <t>1.5 g/L</t>
  </si>
  <si>
    <t xml:space="preserve"> 2 g/L</t>
  </si>
  <si>
    <t>2  g/L</t>
  </si>
  <si>
    <t>Native Oxide = 1.39 ± 0.006 nm</t>
  </si>
  <si>
    <t>Native Oxide = 1.42 ± 0.006 nm</t>
  </si>
  <si>
    <t>MSE = 1.390</t>
  </si>
  <si>
    <t>Thickness # 2 = 0.82 ± 0.007 nm</t>
  </si>
  <si>
    <t>MSE = 1.345</t>
  </si>
  <si>
    <t>Thickness # 2 = 0.85 ± 0.006 nm</t>
  </si>
  <si>
    <t>MSE = 1.336</t>
  </si>
  <si>
    <t>Thickness # 2 = 0.81 ± 0.006 nm</t>
  </si>
  <si>
    <t>MSE = 1.459</t>
  </si>
  <si>
    <t>Thickness # 2 = 0.69 ± 0.007 nm</t>
  </si>
  <si>
    <t>MSE = 1.292</t>
  </si>
  <si>
    <t>Thickness # 2 = 0.73 ± 0.006 nm</t>
  </si>
  <si>
    <t>MSE = 1.438</t>
  </si>
  <si>
    <t>Thickness # 2 = 0.73 ± 0.007 nm</t>
  </si>
  <si>
    <t>MSE = 1.373</t>
  </si>
  <si>
    <t>MSE = 1.683</t>
  </si>
  <si>
    <t>Thickness # 2 = 0.68 ± 0.008 nm</t>
  </si>
  <si>
    <t>MSE = 1.510</t>
  </si>
  <si>
    <t>Thickness # 2 = 0.68 ± 0.007 nm</t>
  </si>
  <si>
    <t>MSE = 1.477</t>
  </si>
  <si>
    <t>Thickness # 2 = 0.67 ± 0.007 nm</t>
  </si>
  <si>
    <t>MSE = 1.408</t>
  </si>
  <si>
    <t>Thickness # 2 = 0.66 ± 0.007 nm</t>
  </si>
  <si>
    <t>MSE = 2.192</t>
  </si>
  <si>
    <t>Thickness # 2 = 0.75 ± 0.011 nm</t>
  </si>
  <si>
    <t>MSE = 1.380</t>
  </si>
  <si>
    <t>Thickness # 2 = 0.71 ± 0.007 nm</t>
  </si>
  <si>
    <t>MSE = 1.362</t>
  </si>
  <si>
    <t>Thickness # 2 = 0.76 ± 0.007 nm</t>
  </si>
  <si>
    <t>MSE = 1.319</t>
  </si>
  <si>
    <t>Thickness # 2 = 0.68 ± 0.006 nm</t>
  </si>
  <si>
    <t>MSE = 1.393</t>
  </si>
  <si>
    <t>Thickness # 2 = 0.70 ± 0.007 nm</t>
  </si>
  <si>
    <t>MSE = 1.546</t>
  </si>
  <si>
    <t>MSE = 1.287</t>
  </si>
  <si>
    <t>MSE = 1.306</t>
  </si>
  <si>
    <t>Thickness # 2 = 0.67 ± 0.006 nm</t>
  </si>
  <si>
    <t>MSE = 1.321</t>
  </si>
  <si>
    <t>Thickness # 2 = 0.71 ± 0.006 nm</t>
  </si>
  <si>
    <t>MSE = 1.395</t>
  </si>
  <si>
    <t>MSE = 1.528</t>
  </si>
  <si>
    <t>Thickness # 2 = 0.71 ± 0.008 nm</t>
  </si>
  <si>
    <t>MSE = 1.225</t>
  </si>
  <si>
    <t>MSE = 1.315</t>
  </si>
  <si>
    <t>Thickness # 2 = 0.69 ± 0.006 nm</t>
  </si>
  <si>
    <t>MSE = 1.250</t>
  </si>
  <si>
    <t>MSE = 1.455</t>
  </si>
  <si>
    <t>MSE = 1.372</t>
  </si>
  <si>
    <t>MSE = 1.290</t>
  </si>
  <si>
    <t>Thickness # 2 = 0.77 ± 0.006 nm</t>
  </si>
  <si>
    <t>after 1hr from coating</t>
  </si>
  <si>
    <t>directly after coating 5-10 min</t>
  </si>
  <si>
    <t>MSE = 1.388</t>
  </si>
  <si>
    <t>MSE = 1.327</t>
  </si>
  <si>
    <t>MSE = 1.467</t>
  </si>
  <si>
    <t>MSE = 1.544</t>
  </si>
  <si>
    <t>Thickness # 2 = 0.72 ± 0.007 nm</t>
  </si>
  <si>
    <t>MSE = 1.348</t>
  </si>
  <si>
    <t>MSE = 1.439</t>
  </si>
  <si>
    <t>MSE = 1.507</t>
  </si>
  <si>
    <t>MSE = 1.447</t>
  </si>
  <si>
    <t>MSE = 1.653</t>
  </si>
  <si>
    <t>Thickness # 2 = 0.73 ± 0.008 nm</t>
  </si>
  <si>
    <t>MSE = 1.517</t>
  </si>
  <si>
    <t>MSE = 1.400</t>
  </si>
  <si>
    <t>MSE = 1.419</t>
  </si>
  <si>
    <t>MSE = 1.442</t>
  </si>
  <si>
    <t>MSE = 1.229</t>
  </si>
  <si>
    <t>MSE = 1.320</t>
  </si>
  <si>
    <t>MSE = 1.383</t>
  </si>
  <si>
    <t>MSE = 1.347</t>
  </si>
  <si>
    <t>MSE = 1.470</t>
  </si>
  <si>
    <t>MSE = 1.281</t>
  </si>
  <si>
    <t>MSE = 1.325</t>
  </si>
  <si>
    <t>MSE = 1.255</t>
  </si>
  <si>
    <t>MSE = 1.384</t>
  </si>
  <si>
    <t>MSE = 1.464</t>
  </si>
  <si>
    <t>MSE = 1.382</t>
  </si>
  <si>
    <t>Thickness # 2 = 0.74 ± 0.007 nm</t>
  </si>
  <si>
    <t>MSE = 1.308</t>
  </si>
  <si>
    <t>MSE = 1.343</t>
  </si>
  <si>
    <t>MSE = 1.272</t>
  </si>
  <si>
    <t>Ave.</t>
  </si>
  <si>
    <t>Uncoated</t>
  </si>
  <si>
    <t>MSE = 1.618</t>
  </si>
  <si>
    <t>Native Oxide = 1.37 ± 0.007 nm</t>
  </si>
  <si>
    <t>MSE = 1.562</t>
  </si>
  <si>
    <t>MSE = 1.512</t>
  </si>
  <si>
    <t>Native Oxide = 1.45 ± 0.006 nm</t>
  </si>
  <si>
    <t>MSE = 1.524</t>
  </si>
  <si>
    <t>Native Oxide = 1.46 ± 0.006 nm</t>
  </si>
  <si>
    <t>MSE = 1.371</t>
  </si>
  <si>
    <t>MSE = 1.538</t>
  </si>
  <si>
    <t>MSE = 1.556</t>
  </si>
  <si>
    <t>Native Oxide = 1.49 ± 0.006 nm</t>
  </si>
  <si>
    <t>MSE = 1.368</t>
  </si>
  <si>
    <t>MSE = 1.570</t>
  </si>
  <si>
    <t>MSE = 1.621</t>
  </si>
  <si>
    <t>MSE = 1.503</t>
  </si>
  <si>
    <t>MSE = 1.431</t>
  </si>
  <si>
    <t>Native Oxide = 1.51 ± 0.007 nm</t>
  </si>
  <si>
    <t>MSE = 2.113</t>
  </si>
  <si>
    <t>Native Oxide = 1.41 ± 0.009 nm</t>
  </si>
  <si>
    <t>Native Oxide = 1.38 ± 0.007 nm</t>
  </si>
  <si>
    <t>MSE = 1.702</t>
  </si>
  <si>
    <t>Native Oxide = 1.39 ± 0.007 nm</t>
  </si>
  <si>
    <t>MSE = 1.775</t>
  </si>
  <si>
    <t>MSE = 1.425</t>
  </si>
  <si>
    <t>MSE = 1.478</t>
  </si>
  <si>
    <t>MSE = 1.717</t>
  </si>
  <si>
    <t>Thickness # 2 = 0.74 ± 0.008 nm</t>
  </si>
  <si>
    <t>MSE = 1.539</t>
  </si>
  <si>
    <t>MSE = 1.421</t>
  </si>
  <si>
    <t>MSE = 1.515</t>
  </si>
  <si>
    <t>MSE = 1.412</t>
  </si>
  <si>
    <t>Thickness # 2 = 0.78 ± 0.007 nm</t>
  </si>
  <si>
    <t>MSE = 1.472</t>
  </si>
  <si>
    <t>MSE = 1.415</t>
  </si>
  <si>
    <t>MSE = 1.469</t>
  </si>
  <si>
    <t>Thickness # 2 = 0.63 ± 0.008 nm</t>
  </si>
  <si>
    <t>MSE = 1.483</t>
  </si>
  <si>
    <t>Thickness # 2 = 0.65 ± 0.007 nm</t>
  </si>
  <si>
    <t>MSE = 1.826</t>
  </si>
  <si>
    <t>Thickness # 2 = 0.63 ± 0.009 nm</t>
  </si>
  <si>
    <t>MSE = 1.492</t>
  </si>
  <si>
    <t>Thickness # 2 = 0.59 ± 0.007 nm</t>
  </si>
  <si>
    <t>MSE = 1.401</t>
  </si>
  <si>
    <t>Thickness # 2 = 0.60 ± 0.007 nm</t>
  </si>
  <si>
    <t>MSE = 1.679</t>
  </si>
  <si>
    <t>Thickness # 2 = 0.61 ± 0.008 nm</t>
  </si>
  <si>
    <t>MSE = 1.601</t>
  </si>
  <si>
    <t>Thickness # 2 = 0.66 ± 0.008 nm</t>
  </si>
  <si>
    <t>MSE = 1.501</t>
  </si>
  <si>
    <t>MSE = 1.640</t>
  </si>
  <si>
    <t>Thickness # 2 = 0.56 ± 0.008 nm</t>
  </si>
  <si>
    <t>MSE = 1.673</t>
  </si>
  <si>
    <t>MSE = 1.423</t>
  </si>
  <si>
    <t>7  g/L</t>
  </si>
  <si>
    <t xml:space="preserve"> 7 g/L</t>
  </si>
  <si>
    <t>MSE = 1.531</t>
  </si>
  <si>
    <t>Native Oxide = 1.51 ± 0.006 nm</t>
  </si>
  <si>
    <t>MSE = 1.303</t>
  </si>
  <si>
    <t>Native Oxide = 1.51 ± 0.005 nm</t>
  </si>
  <si>
    <t>MSE = 1.499</t>
  </si>
  <si>
    <t>Native Oxide = 1.54 ± 0.006 nm</t>
  </si>
  <si>
    <t>Thickness # 2 = 0.28 ± 0.007 nm</t>
  </si>
  <si>
    <t>MSE = 1.494</t>
  </si>
  <si>
    <t>Thickness # 2 = 0.27 ± 0.007 nm</t>
  </si>
  <si>
    <t>MSE = 1.658</t>
  </si>
  <si>
    <t>Thickness # 2 = 0.29 ± 0.008 nm</t>
  </si>
  <si>
    <t>MSE = 1.555</t>
  </si>
  <si>
    <t>Thickness # 2 = 0.20 ± 0.007 nm</t>
  </si>
  <si>
    <t>MSE = 1.468</t>
  </si>
  <si>
    <t>Thickness # 2 = 0.24 ± 0.007 nm</t>
  </si>
  <si>
    <t>MSE = 1.589</t>
  </si>
  <si>
    <t>Thickness # 2 = 0.25 ± 0.008 nm</t>
  </si>
  <si>
    <t>MSE = 1.579</t>
  </si>
  <si>
    <t>Thickness # 2 = 0.21 ± 0.008 nm</t>
  </si>
  <si>
    <t>MSE = 1.549</t>
  </si>
  <si>
    <t>Thickness # 2 = 0.34 ± 0.007 nm</t>
  </si>
  <si>
    <t>MSE = 1.457</t>
  </si>
  <si>
    <t>Thickness # 2 = 0.35 ± 0.008 nm</t>
  </si>
  <si>
    <t>MSE = 1.610</t>
  </si>
  <si>
    <t>Thickness # 2 = 0.32 ± 0.008 nm</t>
  </si>
  <si>
    <t>MSE = 1.574</t>
  </si>
  <si>
    <t>Thickness # 2 = 0.37 ± 0.007 nm</t>
  </si>
  <si>
    <t>MSE = 1.363</t>
  </si>
  <si>
    <t>MSE = 1.360</t>
  </si>
  <si>
    <t>MSE = 1.332</t>
  </si>
  <si>
    <t>Thickness # 2 = 0.65 ± 0.006 nm</t>
  </si>
  <si>
    <t>Thickness # 2 = 0.39 ± 0.007 nm</t>
  </si>
  <si>
    <t>MSE = 1.429</t>
  </si>
  <si>
    <t>Thickness # 2 = 0.36 ± 0.007 nm</t>
  </si>
  <si>
    <t xml:space="preserve">I repeated again the dip coating to make sure the total thickness not changing with concentration. It is confirmed. </t>
  </si>
  <si>
    <t xml:space="preserve">I observed that the higher concentrations 1.5,2, and 7 g/L have thicker bonded thickness so it is means during Toluene washing less mobile layer removed. </t>
  </si>
  <si>
    <t>MSE = 1.367</t>
  </si>
  <si>
    <t>Over night</t>
  </si>
  <si>
    <t>MSE = 1.416</t>
  </si>
  <si>
    <t>Thickness # 2 = 0.81 ± 0.007 nm</t>
  </si>
  <si>
    <t>MSE = 1.445</t>
  </si>
  <si>
    <t>MSE = 1.328</t>
  </si>
  <si>
    <t>Thickness # 2 = 0.79 ± 0.006 nm</t>
  </si>
  <si>
    <t>MSE = 1.398</t>
  </si>
  <si>
    <t>MSE = 1.480</t>
  </si>
  <si>
    <t>Thickness # 2 = 0.79 ± 0.007 nm</t>
  </si>
  <si>
    <t>MSE = 1.316</t>
  </si>
  <si>
    <t>MSE = 1.355</t>
  </si>
  <si>
    <t>MSE = 1.286</t>
  </si>
  <si>
    <t>MSE = 1.615</t>
  </si>
  <si>
    <t>MSE = 1.644</t>
  </si>
  <si>
    <t>Thickness # 2 = 0.79 ± 0.008 nm</t>
  </si>
  <si>
    <t>MSE = 1.572</t>
  </si>
  <si>
    <t>Thickness # 2 = 0.75 ± 0.008 nm</t>
  </si>
  <si>
    <t>Thickness # 2 = 0.76 ± 0.008 nm</t>
  </si>
  <si>
    <t>Take measurment of the same wafer samples from yesterday to compare the thickness over night. The total thickness increaed a bet.</t>
  </si>
  <si>
    <t>MSE = 1.482</t>
  </si>
  <si>
    <t>MSE = 1.301</t>
  </si>
  <si>
    <t>Thickness # 2 = 0.97 ± 0.006 nm</t>
  </si>
  <si>
    <t>1 hr</t>
  </si>
  <si>
    <t>5-10 min</t>
  </si>
  <si>
    <t>over night</t>
  </si>
  <si>
    <t>2 g/L</t>
  </si>
  <si>
    <t>Concentration (g/L)</t>
  </si>
  <si>
    <t>Total Thickness (nm)</t>
  </si>
  <si>
    <t>Bonded Thickness (nm)</t>
  </si>
  <si>
    <t>Concentrations (g/L)</t>
  </si>
  <si>
    <t>Thickness Range</t>
  </si>
  <si>
    <t>0.67-0.83</t>
  </si>
  <si>
    <t>0.70-0.78</t>
  </si>
  <si>
    <t>0.78-0.86</t>
  </si>
  <si>
    <t xml:space="preserve"> Si wafer</t>
  </si>
  <si>
    <t xml:space="preserve">Start with new set of wafer with same solutions </t>
  </si>
  <si>
    <t>MSE = 1.407</t>
  </si>
  <si>
    <t>Native Oxide = 1.32 ± 0.006 nm</t>
  </si>
  <si>
    <t>MSE = 1.434</t>
  </si>
  <si>
    <t>Native Oxide = 1.35 ± 0.006 nm</t>
  </si>
  <si>
    <t>Native Oxide = 1.34 ± 0.006 nm</t>
  </si>
  <si>
    <t>MSE = 1.689</t>
  </si>
  <si>
    <t>Native Oxide = 1.36 ± 0.007 nm</t>
  </si>
  <si>
    <t>MSE = 1.309</t>
  </si>
  <si>
    <t>Native Oxide = 1.42 ± 0.005 nm</t>
  </si>
  <si>
    <t>MSE = 1.234</t>
  </si>
  <si>
    <t>Native Oxide = 1.38 ± 0.005 nm</t>
  </si>
  <si>
    <t>MSE = 1.311</t>
  </si>
  <si>
    <t>Native Oxide = 1.37 ± 0.005 nm</t>
  </si>
  <si>
    <t>MSE = 1.404</t>
  </si>
  <si>
    <t>Thickness # 2 = 0.89 ± 0.007 nm</t>
  </si>
  <si>
    <t>Thickness # 2 = 0.83 ± 0.007 nm</t>
  </si>
  <si>
    <t>MSE = 2.745</t>
  </si>
  <si>
    <t>Thickness # 2 = 0.71 ± 0.013 nm</t>
  </si>
  <si>
    <t>MSE = 1.344</t>
  </si>
  <si>
    <t>MSE = 2.017</t>
  </si>
  <si>
    <t>Thickness # 2 = 0.72 ± 0.010 nm</t>
  </si>
  <si>
    <t>MSE = 1.361</t>
  </si>
  <si>
    <t>Thickness # 2 = 0.75 ± 0.007 nm</t>
  </si>
  <si>
    <t>MSE = 1.386</t>
  </si>
  <si>
    <t>MSE = 1.374</t>
  </si>
  <si>
    <t>MSE = 1.465</t>
  </si>
  <si>
    <t>MSE = 1.767</t>
  </si>
  <si>
    <t>Thickness # 2 = 0.68 ± 0.009 nm</t>
  </si>
  <si>
    <t>MSE = 1.542</t>
  </si>
  <si>
    <t>MSE = 1.357</t>
  </si>
  <si>
    <t>MSE = 1.458</t>
  </si>
  <si>
    <t>Thickness # 2 = 0.64 ± 0.007 nm</t>
  </si>
  <si>
    <t>MSE = 1.333</t>
  </si>
  <si>
    <t>Thickness # 2 = 0.63 ± 0.006 nm</t>
  </si>
  <si>
    <t>7 g/L</t>
  </si>
  <si>
    <t>MSE = 1.307</t>
  </si>
  <si>
    <t>Run AFM 07/01/2025</t>
  </si>
  <si>
    <t>Start with new set of Si wafers and 2 new solutions 10 g/L and 20g/L</t>
  </si>
  <si>
    <t xml:space="preserve"> 10 g/L</t>
  </si>
  <si>
    <t>10  g/L</t>
  </si>
  <si>
    <t xml:space="preserve"> 20 g/L</t>
  </si>
  <si>
    <t>20  g/L</t>
  </si>
  <si>
    <t>MSE = 1.019</t>
  </si>
  <si>
    <t>Native Oxide = 1.60 ± 0.004 nm</t>
  </si>
  <si>
    <t>MSE = 0.917</t>
  </si>
  <si>
    <t>Native Oxide = 1.61 ± 0.004 nm</t>
  </si>
  <si>
    <t>MSE = 0.987</t>
  </si>
  <si>
    <t>Native Oxide = 1.62 ± 0.004 nm</t>
  </si>
  <si>
    <t>MSE = 0.982</t>
  </si>
  <si>
    <t>(Measured thickness again on 7/29/2025)</t>
  </si>
  <si>
    <t>MSE = 1.135</t>
  </si>
  <si>
    <t>Thickness # 2 = 0.67 ± 0.005 nm</t>
  </si>
  <si>
    <t>Thickness # 2 = 0.64 ± 0.006 nm</t>
  </si>
  <si>
    <t>MSE = 1.112</t>
  </si>
  <si>
    <t>Thickness # 2 = 0.57 ± 0.005 nm</t>
  </si>
  <si>
    <t>MSE = 1.113</t>
  </si>
  <si>
    <t>Thickness # 2 = 0.58 ± 0.005 nm</t>
  </si>
  <si>
    <t>Thickness # 2 = 1.13 ± 0.006 nm</t>
  </si>
  <si>
    <t>MSE = 1.630</t>
  </si>
  <si>
    <t>MSE = 1.617</t>
  </si>
  <si>
    <t>MSE = 1.411</t>
  </si>
  <si>
    <t>Thickness # 2 = 1.06 ± 0.007 nm</t>
  </si>
  <si>
    <t>Thickness # 2 = 1.11 ± 0.007 nm</t>
  </si>
  <si>
    <t>MSE = 1.559</t>
  </si>
  <si>
    <t>Thickness # 2 = 1.11 ± 0.008 nm</t>
  </si>
  <si>
    <t>MSE = 1.369</t>
  </si>
  <si>
    <t>MSE = 1.329</t>
  </si>
  <si>
    <t>Thickness # 2 = 1.05 ± 0.006 nm</t>
  </si>
  <si>
    <t>Thickness # 2 = 0.91 ± 0.008 nm</t>
  </si>
  <si>
    <t>Thickness # 2 = 1.00 ± 0.007 nm</t>
  </si>
  <si>
    <t>Thickness # 2 = 0.99 ± 0.006 nm</t>
  </si>
  <si>
    <t>MSE = 1.379</t>
  </si>
  <si>
    <t>MSE = 1.396</t>
  </si>
  <si>
    <t>Thickness # 2 = 0.86 ± 0.007 nm</t>
  </si>
  <si>
    <t>MSE = 1.159</t>
  </si>
  <si>
    <t>Thickness # 2 = 0.98 ± 0.006 nm</t>
  </si>
  <si>
    <t>MSE = 1.208</t>
  </si>
  <si>
    <t>Thickness # 2 = 0.93 ± 0.006 nm</t>
  </si>
  <si>
    <t>MSE = 1.279</t>
  </si>
  <si>
    <t>Thickness # 2 = 0.89 ± 0.006 nm</t>
  </si>
  <si>
    <t>MSE = 1.297</t>
  </si>
  <si>
    <t>Thickness # 2 = 0.92 ± 0.006 nm</t>
  </si>
  <si>
    <t>Total Thickness (nm) 06/21/2025</t>
  </si>
  <si>
    <t>Total Thickness (nm) 07/29/2025</t>
  </si>
  <si>
    <t>MSE = 1.230</t>
  </si>
  <si>
    <t>Thickness # 2 = 0.59 ± 0.006 nm</t>
  </si>
  <si>
    <t>MSE = 1.192</t>
  </si>
  <si>
    <t>Thickness # 2 = 0.87 ± 0.006 nm</t>
  </si>
  <si>
    <t>MSE = 1.233</t>
  </si>
  <si>
    <t>Thickness # 2 = 0.84 ± 0.006 nm</t>
  </si>
  <si>
    <t>MSE = 1.351</t>
  </si>
  <si>
    <t>MSE = 1.257</t>
  </si>
  <si>
    <t>Thickness # 2 = 0.50 ± 0.006 nm</t>
  </si>
  <si>
    <t>MSE = 1.173</t>
  </si>
  <si>
    <t>Thickness # 2 = 0.54 ± 0.006 nm</t>
  </si>
  <si>
    <t>Thickness # 2 = 0.55 ± 0.006 nm</t>
  </si>
  <si>
    <t>MSE = 1.222</t>
  </si>
  <si>
    <t>MSE = 1.241</t>
  </si>
  <si>
    <t>Thickness # 2 = 0.66 ± 0.006 nm</t>
  </si>
  <si>
    <t>Thickness # 2 = 0.60 ± 0.006 nm</t>
  </si>
  <si>
    <t>MSE = 1.270</t>
  </si>
  <si>
    <t>diffrence</t>
  </si>
  <si>
    <t>MSE = 1.153</t>
  </si>
  <si>
    <t>MSE = 1.012</t>
  </si>
  <si>
    <t>Thickness # 2 = 0.68 ± 0.005 nm</t>
  </si>
  <si>
    <t>MSE = 1.089</t>
  </si>
  <si>
    <t>Thickness # 2 = 0.66 ± 0.005 nm</t>
  </si>
  <si>
    <r>
      <t xml:space="preserve"> Bonded Thickness</t>
    </r>
    <r>
      <rPr>
        <b/>
        <sz val="11"/>
        <color theme="1"/>
        <rFont val="Arial"/>
        <family val="2"/>
      </rPr>
      <t xml:space="preserve"> 07/29/2025</t>
    </r>
  </si>
  <si>
    <t xml:space="preserve">measured the thickness again on 7/29/2025 </t>
  </si>
  <si>
    <t xml:space="preserve">measured the thickness after vaccum Oven overnight on 7/30/2025 </t>
  </si>
  <si>
    <t>Total Thickness after vaccum oven (nm) 07/30/2025</t>
  </si>
  <si>
    <t>MSE = 1.778</t>
  </si>
  <si>
    <t>Thickness # 2 = 1.12 ± 0.009 nm</t>
  </si>
  <si>
    <t>Thickness # 2 = 1.11 ± 0.006 nm</t>
  </si>
  <si>
    <t>Thickness # 2 = 0.97 ± 0.007 nm</t>
  </si>
  <si>
    <t>MSE = 1.428</t>
  </si>
  <si>
    <t>Thickness # 2 = 0.98 ± 0.007 nm</t>
  </si>
  <si>
    <t>MSE = 1.354</t>
  </si>
  <si>
    <t>MSE = 1.201</t>
  </si>
  <si>
    <t>MSE = 1.296</t>
  </si>
  <si>
    <t>Thickness # 2 = 1.02 ± 0.006 nm</t>
  </si>
  <si>
    <t>Thickness # 2 = 0.96 ± 0.006 nm</t>
  </si>
  <si>
    <t>MSE = 1.516</t>
  </si>
  <si>
    <t>Thickness # 2 = 0.95 ± 0.007 nm</t>
  </si>
  <si>
    <t>MSE = 1.171</t>
  </si>
  <si>
    <t>Thickness # 2 = 1.04 ± 0.006 nm</t>
  </si>
  <si>
    <t>MSE = 1.239</t>
  </si>
  <si>
    <t>MSE = 1.441</t>
  </si>
  <si>
    <t>MSE = 1.456</t>
  </si>
  <si>
    <t>Thickness # 2 = 0.94 ± 0.007 nm</t>
  </si>
  <si>
    <t>MSE = 1.443</t>
  </si>
  <si>
    <t>Thickness # 2 = 1.07 ± 0.007 nm</t>
  </si>
  <si>
    <t>MSE = 1.202</t>
  </si>
  <si>
    <t>Thickness # 2 = 1.01 ± 0.006 nm</t>
  </si>
  <si>
    <t>MSE = 0.996</t>
  </si>
  <si>
    <t>Thickness # 2 = 0.73 ± 0.005 nm</t>
  </si>
  <si>
    <t>MSE = 0.967</t>
  </si>
  <si>
    <t>Thickness # 2 = 0.72 ± 0.005 nm</t>
  </si>
  <si>
    <t>MSE = 0.911</t>
  </si>
  <si>
    <t>Thickness # 2 = 0.73 ± 0.004 nm</t>
  </si>
  <si>
    <t>MSE = 2.613</t>
  </si>
  <si>
    <t>Thickness # 2 = 0.69 ± 0.013 nm</t>
  </si>
  <si>
    <t>MSE = 1.059</t>
  </si>
  <si>
    <t>MSE = 0.931</t>
  </si>
  <si>
    <t>Thickness # 2 = 0.67 ± 0.004 nm</t>
  </si>
  <si>
    <t>MSE = 0.980</t>
  </si>
  <si>
    <t xml:space="preserve"> 30 g/L</t>
  </si>
  <si>
    <t>30  g/L</t>
  </si>
  <si>
    <t>uncoated wafer</t>
  </si>
  <si>
    <t>Native Oxide = 1.31 ± 0.005 nm</t>
  </si>
  <si>
    <t>Native Oxide = 1.30 ± 0.005 nm</t>
  </si>
  <si>
    <t>Native Oxide = 1.33 ± 0.005 nm</t>
  </si>
  <si>
    <t>Thickness # 2 = 0.77 ± 0.008 nm</t>
  </si>
  <si>
    <t>MSE = 1.473</t>
  </si>
  <si>
    <t>Thickness # 2 = 0.84 ± 0.008 nm</t>
  </si>
  <si>
    <t xml:space="preserve"> 40 g/L</t>
  </si>
  <si>
    <t xml:space="preserve"> 50 g/L</t>
  </si>
  <si>
    <t>MSE = 1.002</t>
  </si>
  <si>
    <t>Thickness # 2 = 0.75 ± 0.005 nm</t>
  </si>
  <si>
    <t>MSE = 1.029</t>
  </si>
  <si>
    <t>MSE = 1.145</t>
  </si>
  <si>
    <t>St.Dev.=</t>
  </si>
  <si>
    <t>MSE = 1.122</t>
  </si>
  <si>
    <t>MSE = 1.209</t>
  </si>
  <si>
    <t>MSE = 1.127</t>
  </si>
  <si>
    <t>Thickness # 2 = 0.71 ± 0.005 nm</t>
  </si>
  <si>
    <t>MSE = 1.452</t>
  </si>
  <si>
    <t>MSE = 1.450</t>
  </si>
  <si>
    <t>MSE = 1.645</t>
  </si>
  <si>
    <t>40  g/L</t>
  </si>
  <si>
    <t>50  g/L</t>
  </si>
  <si>
    <t>Repeat measurment (08/04/2025)</t>
  </si>
  <si>
    <t>Start with new set of Si wafers and new solutions 30 g/L and 40g/L</t>
  </si>
  <si>
    <t>MSE = 1.248</t>
  </si>
  <si>
    <t>MSE = 1.198</t>
  </si>
  <si>
    <t>MSE = 1.147</t>
  </si>
  <si>
    <t>MSE = 1.217</t>
  </si>
  <si>
    <t>MSE = 1.114</t>
  </si>
  <si>
    <t>Thickness # 2 = 0.87 ± 0.005 nm</t>
  </si>
  <si>
    <t>MSE = 1.163</t>
  </si>
  <si>
    <t>MSE = 1.144</t>
  </si>
  <si>
    <t>Thickness # 2 = 0.86 ± 0.006 nm</t>
  </si>
  <si>
    <t>MSE = 1.235</t>
  </si>
  <si>
    <t>MSE = 1.420</t>
  </si>
  <si>
    <t>MSE = 1.160</t>
  </si>
  <si>
    <t>Native Oxide = 1.68 ± 0.005 nm</t>
  </si>
  <si>
    <t>MSE = 1.180</t>
  </si>
  <si>
    <t>MSE = 1.313</t>
  </si>
  <si>
    <t>Native Oxide = 1.65 ± 0.005 nm</t>
  </si>
  <si>
    <t>MSE = 1.195</t>
  </si>
  <si>
    <t>MSE = 1.182</t>
  </si>
  <si>
    <t>Native Oxide = 1.67 ± 0.005 nm</t>
  </si>
  <si>
    <t>Native Oxide = 1.62 ± 0.005 nm</t>
  </si>
  <si>
    <t>Native Oxide = 1.61 ± 0.005 nm</t>
  </si>
  <si>
    <t>Native Oxide = 1.59 ± 0.005 nm</t>
  </si>
  <si>
    <t>MSE = 1.565</t>
  </si>
  <si>
    <t>Native Oxide = 1.57 ± 0.006 nm</t>
  </si>
  <si>
    <t>MSE = 1.481</t>
  </si>
  <si>
    <t>Native Oxide = 1.58 ± 0.006 nm</t>
  </si>
  <si>
    <t>MSE = 1.323</t>
  </si>
  <si>
    <t>Native Oxide = 1.56 ± 0.005 nm</t>
  </si>
  <si>
    <t>MSE = 1.500</t>
  </si>
  <si>
    <t>MSE = 1.262</t>
  </si>
  <si>
    <t>Native Oxide = 1.52 ± 0.005 nm</t>
  </si>
  <si>
    <t>Native Oxide = 1.55 ± 0.006 nm</t>
  </si>
  <si>
    <t>MSE = 1.223</t>
  </si>
  <si>
    <t>MSE = 1.768</t>
  </si>
  <si>
    <t>Native Oxide = 1.58 ± 0.007 nm</t>
  </si>
  <si>
    <t>MSE = 1.463</t>
  </si>
  <si>
    <t>MSE = 1.242</t>
  </si>
  <si>
    <t>Native Oxide = 1.60 ± 0.005 nm</t>
  </si>
  <si>
    <t>MSE = 1.444</t>
  </si>
  <si>
    <t>Native Oxide = 1.56 ± 0.006 nm</t>
  </si>
  <si>
    <t>MSE = 1.331</t>
  </si>
  <si>
    <t>Native Oxide = 1.57 ± 0.005 nm</t>
  </si>
  <si>
    <t>MSE = 1.273</t>
  </si>
  <si>
    <t>MSE = 1.413</t>
  </si>
  <si>
    <t>Native Oxide = 1.58 ± 0.005 nm</t>
  </si>
  <si>
    <t>MSE = 1.210</t>
  </si>
  <si>
    <t>MSE = 1.197</t>
  </si>
  <si>
    <t>Thickness # 2 = 0.53 ± 0.006 nm</t>
  </si>
  <si>
    <t>MSE = 1.105</t>
  </si>
  <si>
    <t>Thickness # 2 = 0.50 ± 0.005 nm</t>
  </si>
  <si>
    <t>MSE = 1.261</t>
  </si>
  <si>
    <t>Thickness # 2 = 0.51 ± 0.006 nm</t>
  </si>
  <si>
    <t>Thickness # 2 = 0.49 ± 0.006 nm</t>
  </si>
  <si>
    <t>MSE = 1.174</t>
  </si>
  <si>
    <t>MSE = 1.211</t>
  </si>
  <si>
    <t>MSE = 1.278</t>
  </si>
  <si>
    <t>MSE = 1.392</t>
  </si>
  <si>
    <t>Thickness # 2 = 0.51 ± 0.007 nm</t>
  </si>
  <si>
    <t>MSE = 1.304</t>
  </si>
  <si>
    <t>MSE = 1.265</t>
  </si>
  <si>
    <t>Thickness # 2 = 0.55 ± 0.008 nm</t>
  </si>
  <si>
    <t>MSE = 1.204</t>
  </si>
  <si>
    <t>Thickness # 2 = 0.64 ± 0.008 nm</t>
  </si>
  <si>
    <t>MSE = 1.620</t>
  </si>
  <si>
    <t>Thickness # 2 = 0.65 ± 0.008 nm</t>
  </si>
  <si>
    <t>Thickness # 2 = 0.62 ± 0.006 nm</t>
  </si>
  <si>
    <t>MSE = 1.862</t>
  </si>
  <si>
    <t>Thickness # 2 = 0.52 ± 0.009 nm</t>
  </si>
  <si>
    <t>MSE = 1.925</t>
  </si>
  <si>
    <t>Thickness # 2 = 0.53 ± 0.009 nm</t>
  </si>
  <si>
    <t>Thickness # 2 = 0.52 ± 0.007 nm</t>
  </si>
  <si>
    <t>MSE = 1.597</t>
  </si>
  <si>
    <t>Thickness # 2 = 0.54 ± 0.008 nm</t>
  </si>
  <si>
    <t>MSE = 1.561</t>
  </si>
  <si>
    <t>MSE = 1.466</t>
  </si>
  <si>
    <t>Thickness # 2 = 0.55 ± 0.007 nm</t>
  </si>
  <si>
    <t>Thickness # 2 = 0.49 ± 0.007 nm</t>
  </si>
  <si>
    <t>MSE = 1.488</t>
  </si>
  <si>
    <t>Native Oxide = 1.48 ± 0.006 nm</t>
  </si>
  <si>
    <t>MSE = 1.353</t>
  </si>
  <si>
    <t>Native Oxide = 1.47 ± 0.006 nm</t>
  </si>
  <si>
    <t>MSE = 1.288</t>
  </si>
  <si>
    <t>Native Oxide = 1.49 ± 0.005 nm</t>
  </si>
  <si>
    <t>MSE = 1.237</t>
  </si>
  <si>
    <t>Native Oxide = 1.53 ± 0.005 nm</t>
  </si>
  <si>
    <t>MSE = 1.285</t>
  </si>
  <si>
    <t>Native Oxide = 1.47 ± 0.007 nm</t>
  </si>
  <si>
    <t>MSE = 1.571</t>
  </si>
  <si>
    <t>Native Oxide = 1.54 ± 0.005 nm</t>
  </si>
  <si>
    <t>MSE = 1.228</t>
  </si>
  <si>
    <t>MSE = 1.639</t>
  </si>
  <si>
    <t>MSE = 1.350</t>
  </si>
  <si>
    <t>Thickness # 2 = 0.80 ± 0.007 nm</t>
  </si>
  <si>
    <t>MSE = 1.461</t>
  </si>
  <si>
    <t>Thickness # 2 = 0.54 ± 0.007 nm</t>
  </si>
  <si>
    <t>MSE = 1.624</t>
  </si>
  <si>
    <t>MSE = 1.460</t>
  </si>
  <si>
    <t>Thickness # 2 = 0.57 ± 0.007 nm</t>
  </si>
  <si>
    <t>MSE = 1.754</t>
  </si>
  <si>
    <t>Thickness # 2 = 0.60 ± 0.008 nm</t>
  </si>
  <si>
    <t>Thickness # 2 = 0.58 ± 0.007 nm</t>
  </si>
  <si>
    <t>MSE = 1.493</t>
  </si>
  <si>
    <t>Thickness # 2 = 0.56 ± 0.007 nm</t>
  </si>
  <si>
    <t>MSE = 1.558</t>
  </si>
  <si>
    <t>MSE = 1.719</t>
  </si>
  <si>
    <t>Thickness # 2 = 0.52 ± 0.008 nm</t>
  </si>
  <si>
    <t>Thickness # 2 = 0.56 ± 0.006 nm</t>
  </si>
  <si>
    <t>Thickness # 2 = 0.53 ± 0.007 nm</t>
  </si>
  <si>
    <t>MSE = 1.518</t>
  </si>
  <si>
    <t>MSE = 1.694</t>
  </si>
  <si>
    <t>Thickness # 2 = 0.59 ± 0.008 nm</t>
  </si>
  <si>
    <t>MSE = 1.243</t>
  </si>
  <si>
    <t>Thickness # 2 = 0.58 ± 0.006 nm</t>
  </si>
  <si>
    <t>MSE = 1.521</t>
  </si>
  <si>
    <t>MSE = 1.751</t>
  </si>
  <si>
    <t>Thickness # 2 = 0.67 ± 0.008 nm</t>
  </si>
  <si>
    <t>MSE = 1.688</t>
  </si>
  <si>
    <t>Thickness # 2 = 0.69 ± 0.008 nm</t>
  </si>
  <si>
    <t>MSE = 1.365</t>
  </si>
  <si>
    <t>MSE = 1.381</t>
  </si>
  <si>
    <t>Bonced Thickness</t>
  </si>
  <si>
    <t>First Wash with Toluene</t>
  </si>
  <si>
    <t>MSE = 1.277</t>
  </si>
  <si>
    <t>Thickness # 2 = 0.34 ± 0.006 nm</t>
  </si>
  <si>
    <t>MSE = 1.207</t>
  </si>
  <si>
    <t>Thickness # 2 = 0.33 ± 0.006 nm</t>
  </si>
  <si>
    <t>Second Wash with Toluene</t>
  </si>
  <si>
    <t>MSE = 1.583</t>
  </si>
  <si>
    <t>Thickness # 2 = 0.30 ± 0.008 nm</t>
  </si>
  <si>
    <t>MSE = 1.486</t>
  </si>
  <si>
    <t>Thickness # 2 = 0.32 ± 0.007 nm</t>
  </si>
  <si>
    <t>MSE = 1.454</t>
  </si>
  <si>
    <t>Thickness # 2 = 0.27 ± 0.008 nm</t>
  </si>
  <si>
    <t>Thickness # 2 = 0.35 ± 0.007 nm</t>
  </si>
  <si>
    <t>MSE = 1.417</t>
  </si>
  <si>
    <t>MSE = 1.189</t>
  </si>
  <si>
    <t>MSE = 1.179</t>
  </si>
  <si>
    <t>MSE = 1.264</t>
  </si>
  <si>
    <t>Thickness # 2 = 0.88 ± 0.006 nm</t>
  </si>
  <si>
    <t>MSE = 1.132</t>
  </si>
  <si>
    <t>MSE = 1.102</t>
  </si>
  <si>
    <t>Thickness # 2 = 0.91 ± 0.005 nm</t>
  </si>
  <si>
    <t>MSE = 1.263</t>
  </si>
  <si>
    <t>MSE = 1.221</t>
  </si>
  <si>
    <t>MSE = 1.232</t>
  </si>
  <si>
    <t>MSE = 1.582</t>
  </si>
  <si>
    <t>MSE = 1.900</t>
  </si>
  <si>
    <t>Thickness # 2 = 0.94 ± 0.008 nm</t>
  </si>
  <si>
    <t>MSE = 1.302</t>
  </si>
  <si>
    <t>MSE = 1.244</t>
  </si>
  <si>
    <t>MSE = 1.338</t>
  </si>
  <si>
    <t>MSE = 1.177</t>
  </si>
  <si>
    <t>Thickness # 2 = 0.52 ± 0.006 nm</t>
  </si>
  <si>
    <t>MSE = 1.346</t>
  </si>
  <si>
    <t>dwell time 20 s</t>
  </si>
  <si>
    <t>After UV-Ozone</t>
  </si>
  <si>
    <t>Thickness # 2 = 1.05 ± 0.007 nm</t>
  </si>
  <si>
    <t>MSE = 1.194</t>
  </si>
  <si>
    <t>Thickness # 2 = 1.08 ± 0.007 nm</t>
  </si>
  <si>
    <t>Thickness # 2 = 1.24 ± 0.007 nm</t>
  </si>
  <si>
    <t>Thickness # 2 = 1.21 ± 0.007 nm</t>
  </si>
  <si>
    <t>MSE = 1.314</t>
  </si>
  <si>
    <t>Thickness # 2 = 1.28 ± 0.008 nm</t>
  </si>
  <si>
    <t>Thickness # 2 = 0.97 ± 0.008 nm</t>
  </si>
  <si>
    <t>MSE = 1.422</t>
  </si>
  <si>
    <t>MSE = 1.462</t>
  </si>
  <si>
    <t>Thickness # 2 = 0.88 ± 0.007 nm</t>
  </si>
  <si>
    <r>
      <t xml:space="preserve">Total Thickness </t>
    </r>
    <r>
      <rPr>
        <b/>
        <sz val="12"/>
        <color rgb="FFC00000"/>
        <rFont val="Calibri"/>
        <family val="2"/>
        <scheme val="minor"/>
      </rPr>
      <t>(08/25/2025)</t>
    </r>
    <r>
      <rPr>
        <b/>
        <sz val="12"/>
        <color theme="1"/>
        <rFont val="Calibri"/>
        <family val="2"/>
        <scheme val="minor"/>
      </rPr>
      <t xml:space="preserve"> </t>
    </r>
    <r>
      <rPr>
        <b/>
        <sz val="12"/>
        <color rgb="FF0070C0"/>
        <rFont val="Calibri"/>
        <family val="2"/>
        <scheme val="minor"/>
      </rPr>
      <t>After UV-Ozone</t>
    </r>
  </si>
  <si>
    <r>
      <t xml:space="preserve">Total Thickness </t>
    </r>
    <r>
      <rPr>
        <b/>
        <sz val="12"/>
        <color rgb="FFC00000"/>
        <rFont val="Calibri"/>
        <family val="2"/>
        <scheme val="minor"/>
      </rPr>
      <t xml:space="preserve">(08/05/2025) </t>
    </r>
    <r>
      <rPr>
        <b/>
        <sz val="12"/>
        <rFont val="Calibri"/>
        <family val="2"/>
        <scheme val="minor"/>
      </rPr>
      <t>(nm)</t>
    </r>
  </si>
  <si>
    <r>
      <t>Total Thickness</t>
    </r>
    <r>
      <rPr>
        <b/>
        <sz val="12"/>
        <color rgb="FFC00000"/>
        <rFont val="Calibri"/>
        <family val="2"/>
        <scheme val="minor"/>
      </rPr>
      <t xml:space="preserve"> (08/06/2025) </t>
    </r>
    <r>
      <rPr>
        <b/>
        <sz val="12"/>
        <rFont val="Calibri"/>
        <family val="2"/>
        <scheme val="minor"/>
      </rPr>
      <t>(nm)</t>
    </r>
  </si>
  <si>
    <r>
      <t xml:space="preserve">Total Thickness </t>
    </r>
    <r>
      <rPr>
        <b/>
        <sz val="12"/>
        <color rgb="FFC00000"/>
        <rFont val="Calibri"/>
        <family val="2"/>
        <scheme val="minor"/>
      </rPr>
      <t xml:space="preserve">(08/25/2025)   </t>
    </r>
    <r>
      <rPr>
        <b/>
        <sz val="12"/>
        <rFont val="Calibri"/>
        <family val="2"/>
        <scheme val="minor"/>
      </rPr>
      <t>(nm)</t>
    </r>
  </si>
  <si>
    <t>MSE = 1.101</t>
  </si>
  <si>
    <t>MSE = 0.992</t>
  </si>
  <si>
    <t>MSE = 1.017</t>
  </si>
  <si>
    <t>MSE = 0.973</t>
  </si>
  <si>
    <t>MSE = 1.138</t>
  </si>
  <si>
    <t>MSE = 1.269</t>
  </si>
  <si>
    <t>MSE = 1.020</t>
  </si>
  <si>
    <t>MSE = 1.062</t>
  </si>
  <si>
    <t>Thickness # 2 = 0.46 ± 0.006 nm</t>
  </si>
  <si>
    <t>Thickness # 2 = 0.51 ± 0.008 nm</t>
  </si>
  <si>
    <t>.</t>
  </si>
  <si>
    <t>MSE = 1.110</t>
  </si>
  <si>
    <t>Thickness # 2 = 0.48 ± 0.006 nm</t>
  </si>
  <si>
    <t>MSE = 1.066</t>
  </si>
  <si>
    <t>MSE = 1.099</t>
  </si>
  <si>
    <t>MSE = 1.212</t>
  </si>
  <si>
    <t>MSE = 1.085</t>
  </si>
  <si>
    <t>MSE = 1.186</t>
  </si>
  <si>
    <t>3 PDMS 03/10/2025</t>
  </si>
  <si>
    <t>Uncoated Si Wafer</t>
  </si>
  <si>
    <t>Uncoated  0.025 g/L</t>
  </si>
  <si>
    <t>Uncoated  0.05 g/L</t>
  </si>
  <si>
    <t>Uncoated  0.1 g/L</t>
  </si>
  <si>
    <t>Uncoated  0.25 g/L</t>
  </si>
  <si>
    <t>MSE = 3.424</t>
  </si>
  <si>
    <t>MSE = 4.184</t>
  </si>
  <si>
    <t>MSE = 2.962</t>
  </si>
  <si>
    <t>MSE = 3.470</t>
  </si>
  <si>
    <t>MSE = 3.383</t>
  </si>
  <si>
    <t>Native Oxide = 1.22 ± 0.014 nm</t>
  </si>
  <si>
    <t>Native Oxide = 1.25 ± 0.017 nm</t>
  </si>
  <si>
    <t>Native Oxide = 1.28 ± 0.012 nm</t>
  </si>
  <si>
    <t>Native Oxide = 1.43 ± 0.014 nm</t>
  </si>
  <si>
    <t>MSE = 3.394</t>
  </si>
  <si>
    <t>MSE = 4.054</t>
  </si>
  <si>
    <t>MSE = 3.671</t>
  </si>
  <si>
    <t>MSE = 3.455</t>
  </si>
  <si>
    <t>MSE = 3.638</t>
  </si>
  <si>
    <t>Native Oxide = 1.21 ± 0.014 nm</t>
  </si>
  <si>
    <t>Native Oxide = 1.25 ± 0.016 nm</t>
  </si>
  <si>
    <t>Native Oxide = 1.25 ± 0.015 nm</t>
  </si>
  <si>
    <t>Native Oxide = 1.26 ± 0.015 nm</t>
  </si>
  <si>
    <t>MSE = 3.640</t>
  </si>
  <si>
    <t>MSE = 3.576</t>
  </si>
  <si>
    <t>MSE = 3.688</t>
  </si>
  <si>
    <t>MSE = 3.485</t>
  </si>
  <si>
    <t>MSE = 3.718</t>
  </si>
  <si>
    <t>Native Oxide = 1.22 ± 0.015 nm</t>
  </si>
  <si>
    <t>Native Oxide = 1.24 ± 0.015 nm</t>
  </si>
  <si>
    <t>Native Oxide = 1.20 ± 0.014 nm</t>
  </si>
  <si>
    <t>Ave=</t>
  </si>
  <si>
    <t>ST.Dev.=</t>
  </si>
  <si>
    <t>coated 0.025  g/L</t>
  </si>
  <si>
    <t>coated  0.05 g/L</t>
  </si>
  <si>
    <t>coated 0.1 g/L</t>
  </si>
  <si>
    <t>coated  0.25  g/L</t>
  </si>
  <si>
    <t>MSE = 3.351</t>
  </si>
  <si>
    <t>MSE = 3.421</t>
  </si>
  <si>
    <t>MSE = 3.348</t>
  </si>
  <si>
    <t>MSE = 4.289</t>
  </si>
  <si>
    <t>Thickness # 2 = 1.38 ± 0.016 nm</t>
  </si>
  <si>
    <t>Thickness # 2 = 1.22 ± 0.016 nm</t>
  </si>
  <si>
    <t>Thickness # 2 = 1.83 ± 0.016 nm</t>
  </si>
  <si>
    <t>Thickness # 2 = 2.63 ± 0.021 nm</t>
  </si>
  <si>
    <t>MSE = 3.596</t>
  </si>
  <si>
    <t>MSE = 3.915</t>
  </si>
  <si>
    <t>MSE = 3.321</t>
  </si>
  <si>
    <t>MSE = 3.877</t>
  </si>
  <si>
    <t>Thickness # 2 = 1.36 ± 0.017 nm</t>
  </si>
  <si>
    <t>Thickness # 2 = 1.24 ± 0.019 nm</t>
  </si>
  <si>
    <t>Thickness # 2 = 1.87 ± 0.016 nm</t>
  </si>
  <si>
    <t>Thickness # 2 = 2.27 ± 0.019 nm</t>
  </si>
  <si>
    <t>MSE = 3.336</t>
  </si>
  <si>
    <t>MSE = 3.753</t>
  </si>
  <si>
    <t>MSE = 3.500</t>
  </si>
  <si>
    <t>MSE = 3.099</t>
  </si>
  <si>
    <t>Thickness # 2 = 1.39 ± 0.016 nm</t>
  </si>
  <si>
    <t>Thickness # 2 = 1.23 ± 0.018 nm</t>
  </si>
  <si>
    <t>Thickness # 2 = 1.83 ± 0.017 nm</t>
  </si>
  <si>
    <t>Thickness # 2 = 2.28 ± 0.015 nm</t>
  </si>
  <si>
    <t>20 s</t>
  </si>
  <si>
    <t>Total Thickness 08/25/2025</t>
  </si>
  <si>
    <t>Total Thickness 03/10/2025</t>
  </si>
  <si>
    <t>MSE = 1.872</t>
  </si>
  <si>
    <t>Thickness # 2 = 1.73 ± 0.011 nm</t>
  </si>
  <si>
    <t>MSE = 2.597</t>
  </si>
  <si>
    <t>Thickness # 2 = 2.18 ± 0.015 nm</t>
  </si>
  <si>
    <t>MSE = 1.980</t>
  </si>
  <si>
    <t>MSE = 2.143</t>
  </si>
  <si>
    <t>Thickness # 2 = 1.34 ± 0.012 nm</t>
  </si>
  <si>
    <t>MSE = 2.456</t>
  </si>
  <si>
    <t>Thickness # 2 = 1.34 ± 0.014 nm</t>
  </si>
  <si>
    <t>MSE = 1.835</t>
  </si>
  <si>
    <t>Thickness # 2 = 1.38 ± 0.010 nm</t>
  </si>
  <si>
    <t>Thickness # 2 = 2.04 ± 0.010 nm</t>
  </si>
  <si>
    <t>MSE = 1.758</t>
  </si>
  <si>
    <t>Thickness # 2 = 2.01 ± 0.010 nm</t>
  </si>
  <si>
    <t>MSE = 1.707</t>
  </si>
  <si>
    <t>Thickness # 2 = 2.06 ± 0.010 nm</t>
  </si>
  <si>
    <t>MSE = 2.094</t>
  </si>
  <si>
    <t>Thickness # 2 = 3.39 ± 0.012 nm</t>
  </si>
  <si>
    <t>MSE = 2.558</t>
  </si>
  <si>
    <t>Thickness # 2 = 4.62 ± 0.015 nm</t>
  </si>
  <si>
    <t>MSE = 2.064</t>
  </si>
  <si>
    <t>Thickness # 2 = 3.48 ± 0.012 nm</t>
  </si>
  <si>
    <t>Consentration (g/L)</t>
  </si>
  <si>
    <t>Totalk Thickness (03/10/2025)</t>
  </si>
  <si>
    <t>Total Thickness (08/25/2025)</t>
  </si>
  <si>
    <t xml:space="preserve"> </t>
  </si>
  <si>
    <r>
      <t xml:space="preserve">Total Thickness </t>
    </r>
    <r>
      <rPr>
        <b/>
        <sz val="12"/>
        <color rgb="FFC00000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(nm)</t>
    </r>
  </si>
  <si>
    <t xml:space="preserve">Prepared new solutions and measure the thickness </t>
  </si>
  <si>
    <t>to see how the fresh prepared solutions affect the thickness and the coating!</t>
  </si>
  <si>
    <t>MSE = 2.029</t>
  </si>
  <si>
    <t>Native Oxide = 1.34 ± 0.008 nm</t>
  </si>
  <si>
    <t>10 g/L</t>
  </si>
  <si>
    <t>MSE = 1.508</t>
  </si>
  <si>
    <t>Native Oxide = 1.33 ± 0.007 nm</t>
  </si>
  <si>
    <t>MSE = 1.726</t>
  </si>
  <si>
    <t>Native Oxide = 1.34 ± 0.007 nm</t>
  </si>
  <si>
    <t>MSE = 1.709</t>
  </si>
  <si>
    <t>MSE = 1.700</t>
  </si>
  <si>
    <t>MSE = 1.728</t>
  </si>
  <si>
    <t>MSE = 1.514</t>
  </si>
  <si>
    <t>Native Oxide = 1.33 ± 0.006 nm</t>
  </si>
  <si>
    <t>MSE = 1.669</t>
  </si>
  <si>
    <t>MSE = 1.540</t>
  </si>
  <si>
    <t>MSE = 1.606</t>
  </si>
  <si>
    <t>MSE = 1.502</t>
  </si>
  <si>
    <t>MSE = 1.681</t>
  </si>
  <si>
    <t>Total Thickness 09/02/2025</t>
  </si>
  <si>
    <t>MSE = 2.826</t>
  </si>
  <si>
    <t>Thickness # 2 = 2.03 ± 0.014 nm</t>
  </si>
  <si>
    <t>MSE = 2.164</t>
  </si>
  <si>
    <t>Thickness # 2 = 2.53 ± 0.010 nm</t>
  </si>
  <si>
    <t>Thickness # 2 = 1.47 ± 0.010 nm</t>
  </si>
  <si>
    <t>MSE = 2.276</t>
  </si>
  <si>
    <t>Thickness # 2 = 1.12 ± 0.011 nm</t>
  </si>
  <si>
    <t>MSE = 2.163</t>
  </si>
  <si>
    <t>Thickness # 2 = 1.16 ± 0.010 nm</t>
  </si>
  <si>
    <t>MSE = 2.057</t>
  </si>
  <si>
    <t>MSE = 2.470</t>
  </si>
  <si>
    <t>Thickness # 2 = 1.70 ± 0.012 nm</t>
  </si>
  <si>
    <t>MSE = 2.473</t>
  </si>
  <si>
    <t>Thickness # 2 = 3.11 ± 0.012 nm</t>
  </si>
  <si>
    <t>MSE = 2.722</t>
  </si>
  <si>
    <t>Thickness # 2 = 3.24 ± 0.013 nm</t>
  </si>
  <si>
    <t>Total Thickness 09/02/2025 after UV-Ozone treatment</t>
  </si>
  <si>
    <t>MSE = 2.267</t>
  </si>
  <si>
    <t>Thickness # 2 = 3.21 ± 0.011 nm</t>
  </si>
  <si>
    <t>MSE = 3.896</t>
  </si>
  <si>
    <t>Thickness # 2 = 3.91 ± 0.019 nm</t>
  </si>
  <si>
    <t>MSE = 4.606</t>
  </si>
  <si>
    <t>Thickness # 2 = 3.14 ± 0.022 nm</t>
  </si>
  <si>
    <t>MSE = 1.588</t>
  </si>
  <si>
    <t>Thickness # 2 = 1.10 ± 0.007 nm</t>
  </si>
  <si>
    <t>MSE = 1.614</t>
  </si>
  <si>
    <t>MSE = 1.666</t>
  </si>
  <si>
    <t>Thickness # 2 = 0.99 ± 0.007 nm</t>
  </si>
  <si>
    <t>MSE = 1.638</t>
  </si>
  <si>
    <t>Total Thickness (09/02/2025)after uv-ozone</t>
  </si>
  <si>
    <t>Start new set of wafers and dip coat it in the same solutions but after sonication 30min and heating 40min at 35C</t>
  </si>
  <si>
    <t xml:space="preserve">Uncoated </t>
  </si>
  <si>
    <t>MSE = 1.437</t>
  </si>
  <si>
    <t>MSE = 1.663</t>
  </si>
  <si>
    <t>ave.</t>
  </si>
  <si>
    <t>MSE = 3.342</t>
  </si>
  <si>
    <t>Thickness # 2 = 3.16 ± 0.019 nm</t>
  </si>
  <si>
    <t>MSE = 3.198</t>
  </si>
  <si>
    <t>Thickness # 2 = 2.96 ± 0.018 nm</t>
  </si>
  <si>
    <t>MSE = 3.681</t>
  </si>
  <si>
    <t>Thickness # 2 = 3.36 ± 0.021 nm</t>
  </si>
  <si>
    <t>MSE = 2.417</t>
  </si>
  <si>
    <t>Thickness # 2 = 2.34 ± 0.014 nm</t>
  </si>
  <si>
    <t>MSE = 2.011</t>
  </si>
  <si>
    <t>Thickness # 2 = 2.55 ± 0.012 nm</t>
  </si>
  <si>
    <t>Thickness # 2 = 2.47 ± 0.010 nm</t>
  </si>
  <si>
    <t>Thickness # 2 = 2.85 ± 0.008 nm</t>
  </si>
  <si>
    <t>MSE = 1.720</t>
  </si>
  <si>
    <t>Thickness # 2 = 2.97 ± 0.010 nm</t>
  </si>
  <si>
    <t>MSE = 1.609</t>
  </si>
  <si>
    <t>Thickness # 2 = 2.92 ± 0.009 nm</t>
  </si>
  <si>
    <t>After sonication and heaty</t>
  </si>
  <si>
    <t>Sonication and heating the solution</t>
  </si>
  <si>
    <t>MSE = 2.119</t>
  </si>
  <si>
    <t>Native Oxide = 1.45 ± 0.009 nm</t>
  </si>
  <si>
    <t>MSE = 1.955</t>
  </si>
  <si>
    <t>Native Oxide = 1.46 ± 0.008 nm</t>
  </si>
  <si>
    <t>MSE = 2.039</t>
  </si>
  <si>
    <t>MSE = 1.922</t>
  </si>
  <si>
    <t>Native Oxide = 1.47 ± 0.008 nm</t>
  </si>
  <si>
    <t>MSE = 1.731</t>
  </si>
  <si>
    <t>MSE = 1.721</t>
  </si>
  <si>
    <t>Native Oxide = 1.49 ± 0.007 nm</t>
  </si>
  <si>
    <t>Native Oxide = 1.48 ± 0.007 nm</t>
  </si>
  <si>
    <t>MSE = 2.024</t>
  </si>
  <si>
    <t>Native Oxide = 1.44 ± 0.007 nm</t>
  </si>
  <si>
    <t>MSE = 1.833</t>
  </si>
  <si>
    <t>Native Oxide = 1.45 ± 0.007 nm</t>
  </si>
  <si>
    <t>MSE = 1.729</t>
  </si>
  <si>
    <t>MSE = 1.696</t>
  </si>
  <si>
    <t>MSE = 1.600</t>
  </si>
  <si>
    <t>Thickness # 2 = 0.72 ± 0.008 nm</t>
  </si>
  <si>
    <t>MSE = 1.730</t>
  </si>
  <si>
    <t>MSE = 2.210</t>
  </si>
  <si>
    <t>Thickness # 2 = 0.84 ± 0.011 nm</t>
  </si>
  <si>
    <t>MSE = 2.061</t>
  </si>
  <si>
    <t>Thickness # 2 = 0.84 ± 0.010 nm</t>
  </si>
  <si>
    <t>MSE = 1.684</t>
  </si>
  <si>
    <t>MSE = 3.835</t>
  </si>
  <si>
    <t>Thickness # 2 = 0.78 ± 0.018 nm</t>
  </si>
  <si>
    <t>MSE = 1.823</t>
  </si>
  <si>
    <t>Thickness # 2 = 0.72 ± 0.009 nm</t>
  </si>
  <si>
    <t>MSE = 2.186</t>
  </si>
  <si>
    <t>Thickness # 2 = 0.73 ± 0.011 nm</t>
  </si>
  <si>
    <t>st.dev=</t>
  </si>
  <si>
    <t>St.Dev</t>
  </si>
  <si>
    <t>st.Dev=</t>
  </si>
  <si>
    <t>St.dev.=</t>
  </si>
  <si>
    <t>30 g/L</t>
  </si>
  <si>
    <t>Solutions prepared 10/13/2025</t>
  </si>
  <si>
    <t>0.015 g/L</t>
  </si>
  <si>
    <t>0.025 g/L</t>
  </si>
  <si>
    <t>0.05 g/L</t>
  </si>
  <si>
    <t>Si Wafer</t>
  </si>
  <si>
    <t>MSE = 2.025</t>
  </si>
  <si>
    <t>Native Oxide = 1.68 ± 0.008 nm</t>
  </si>
  <si>
    <t>Native Oxide = 1.67 ± 0.007 nm</t>
  </si>
  <si>
    <t>MSE = 1.761</t>
  </si>
  <si>
    <t>Native Oxide = 1.68 ± 0.007 nm</t>
  </si>
  <si>
    <t>MSE = 1.934</t>
  </si>
  <si>
    <t>Native Oxide = 1.69 ± 0.008 nm</t>
  </si>
  <si>
    <t>MSE = 1.803</t>
  </si>
  <si>
    <t>MSE = 1.798</t>
  </si>
  <si>
    <t>MSE = 1.766</t>
  </si>
  <si>
    <t>Native Oxide = 1.62 ± 0.007 nm</t>
  </si>
  <si>
    <t>MSE = 1.829</t>
  </si>
  <si>
    <t>MSE = 1.914</t>
  </si>
  <si>
    <t>Native Oxide = 1.62 ± 0.008 nm</t>
  </si>
  <si>
    <t>MSE = 1.888</t>
  </si>
  <si>
    <t>Native Oxide = 1.64 ± 0.008 nm</t>
  </si>
  <si>
    <t>Native Oxide = 1.64 ± 0.007 nm</t>
  </si>
  <si>
    <t>MSE = 1.817</t>
  </si>
  <si>
    <t>Native Oxide = 1.65 ± 0.007 nm</t>
  </si>
  <si>
    <t>MSE = 1.972</t>
  </si>
  <si>
    <t>Native Oxide = 1.63 ± 0.007 nm</t>
  </si>
  <si>
    <t>MSE = 1.921</t>
  </si>
  <si>
    <t>Thickness # 2 = 0.53 ± 0.008 nm</t>
  </si>
  <si>
    <t>MSE = 2.302</t>
  </si>
  <si>
    <t>Thickness # 2 = 0.53 ± 0.011 nm</t>
  </si>
  <si>
    <t>Thickness # 2 = 0.67 ± 0.009 nm</t>
  </si>
  <si>
    <t>MSE = 1.795</t>
  </si>
  <si>
    <t>Thickness # 2 = 0.69 ± 0.009 nm</t>
  </si>
  <si>
    <t>MSE = 1.879</t>
  </si>
  <si>
    <t>Thickness # 2 = 0.65 ± 0.009 nm</t>
  </si>
  <si>
    <t>MSE = 1.853</t>
  </si>
  <si>
    <t>Thickness # 2 = 0.66 ± 0.009 nm</t>
  </si>
  <si>
    <t>MSE = 1.849</t>
  </si>
  <si>
    <t>MSE = 1.800</t>
  </si>
  <si>
    <t>MSE = 1.741</t>
  </si>
  <si>
    <t>MSE = 1.851</t>
  </si>
  <si>
    <t>MSE = 2.043</t>
  </si>
  <si>
    <t>Thickness # 2 = 0.64 ± 0.010 nm</t>
  </si>
  <si>
    <t>MSE = 1.819</t>
  </si>
  <si>
    <t>Thickness # 2 = 0.82 ± 0.009 nm</t>
  </si>
  <si>
    <t>MSE = 1.929</t>
  </si>
  <si>
    <t>Thickness # 2 = 0.56 ± 0.009 nm</t>
  </si>
  <si>
    <t>MSE = 1.792</t>
  </si>
  <si>
    <t>MSE = 1.907</t>
  </si>
  <si>
    <t>MSE = 1.874</t>
  </si>
  <si>
    <t>MSE = 1.865</t>
  </si>
  <si>
    <t>MSE = 1.858</t>
  </si>
  <si>
    <t>Thickness # 2 = 0.76 ± 0.009 nm</t>
  </si>
  <si>
    <t>MSE = 1.779</t>
  </si>
  <si>
    <t>Thickness # 2 = 0.34 ± 0.009 nm</t>
  </si>
  <si>
    <t>MSE = 1.770</t>
  </si>
  <si>
    <t>Thickness # 2 = 0.37 ± 0.009 nm</t>
  </si>
  <si>
    <t>MSE = 1.776</t>
  </si>
  <si>
    <t>Thickness # 2 = 0.42 ± 0.009 nm</t>
  </si>
  <si>
    <t>MSE = 1.762</t>
  </si>
  <si>
    <t>Thickness # 2 = 0.42 ± 0.008 nm</t>
  </si>
  <si>
    <t>MSE = 2.038</t>
  </si>
  <si>
    <t>Thickness # 2 = 0.43 ± 0.010 nm</t>
  </si>
  <si>
    <t>MSE = 1.890</t>
  </si>
  <si>
    <t>MSE = 1.809</t>
  </si>
  <si>
    <t>Thickness # 2 = 0.36 ± 0.009 nm</t>
  </si>
  <si>
    <t>MSE = 1.815</t>
  </si>
  <si>
    <t>Thickness # 2 = 0.35 ± 0.009 nm</t>
  </si>
  <si>
    <t>Thickness # 2 = 0.62 ± 0.008 nm</t>
  </si>
  <si>
    <t>MSE = 1.830</t>
  </si>
  <si>
    <t>Thickness # 2 = 0.33 ± 0.009 nm</t>
  </si>
  <si>
    <t>Thickness # 2 = 0.31 ± 0.009 nm</t>
  </si>
  <si>
    <t>Thickness # 2 = 0.32 ± 0.009 nm</t>
  </si>
  <si>
    <t>MSE = 1.773</t>
  </si>
  <si>
    <t>Thickness # 2 = 0.59 ± 0.009 nm</t>
  </si>
  <si>
    <t>MSE = 1.811</t>
  </si>
  <si>
    <t>Thickness # 2 = 0.60 ± 0.009 nm</t>
  </si>
  <si>
    <t>MSE = 1.825</t>
  </si>
  <si>
    <t>Thickness # 2 = 0.28 ± 0.009 nm</t>
  </si>
  <si>
    <t>MSE = 1.839</t>
  </si>
  <si>
    <t>MSE = 2.092</t>
  </si>
  <si>
    <t>Thickness # 2 = 0.36 ± 0.010 nm</t>
  </si>
  <si>
    <t>Thickness # 2 = 0.38 ± 0.008 nm</t>
  </si>
  <si>
    <t>MSE = 1.859</t>
  </si>
  <si>
    <t>Thickness # 2 = 0.26 ± 0.009 nm</t>
  </si>
  <si>
    <t>MSE = 1.886</t>
  </si>
  <si>
    <t>0.01g/L prepared 10/21/2025</t>
  </si>
  <si>
    <t>MSE = 2.856</t>
  </si>
  <si>
    <t>Native Oxide = 1.39 ± 0.012 nm</t>
  </si>
  <si>
    <t>MSE = 2.492</t>
  </si>
  <si>
    <t>Native Oxide = 1.39 ± 0.010 nm</t>
  </si>
  <si>
    <t>MSE = 2.410</t>
  </si>
  <si>
    <t>Native Oxide = 1.38 ± 0.010 nm</t>
  </si>
  <si>
    <t>MSE = 2.498</t>
  </si>
  <si>
    <t>Native Oxide = 1.40 ± 0.010 nm</t>
  </si>
  <si>
    <t>MSE = 2.547</t>
  </si>
  <si>
    <t>MSE = 2.603</t>
  </si>
  <si>
    <t>Native Oxide = 1.40 ± 0.011 nm</t>
  </si>
  <si>
    <t>MSE = 2.755</t>
  </si>
  <si>
    <t>Native Oxide = 1.35 ± 0.011 nm</t>
  </si>
  <si>
    <t>MSE = 2.466</t>
  </si>
  <si>
    <t>Native Oxide = 1.35 ± 0.010 nm</t>
  </si>
  <si>
    <t>MSE = 2.469</t>
  </si>
  <si>
    <t>MSE = 2.581</t>
  </si>
  <si>
    <t>Native Oxide = 1.39 ± 0.011 nm</t>
  </si>
  <si>
    <t>MSE = 2.431</t>
  </si>
  <si>
    <t>MSE = 2.517</t>
  </si>
  <si>
    <t>MSE = 2.704</t>
  </si>
  <si>
    <t>Native Oxide = 1.38 ± 0.011 nm</t>
  </si>
  <si>
    <t>MSE = 2.453</t>
  </si>
  <si>
    <t>MSE = 2.520</t>
  </si>
  <si>
    <t>MSE = 2.464</t>
  </si>
  <si>
    <t>Native Oxide = 1.42 ± 0.010 nm</t>
  </si>
  <si>
    <t>MSE = 2.501</t>
  </si>
  <si>
    <t>MSE = 2.552</t>
  </si>
  <si>
    <t>Native Oxide = 1.43 ± 0.010 nm</t>
  </si>
  <si>
    <t>MSE = 2.284</t>
  </si>
  <si>
    <t>Thickness # 2 = 0.94 ± 0.011 nm</t>
  </si>
  <si>
    <t>MSE = 2.327</t>
  </si>
  <si>
    <t>Thickness # 2 = 0.97 ± 0.011 nm</t>
  </si>
  <si>
    <t>MSE = 2.390</t>
  </si>
  <si>
    <t>Thickness # 2 = 0.84 ± 0.012 nm</t>
  </si>
  <si>
    <t>MSE = 2.367</t>
  </si>
  <si>
    <t>Thickness # 2 = 0.90 ± 0.011 nm</t>
  </si>
  <si>
    <t>MSE = 2.392</t>
  </si>
  <si>
    <t>Thickness # 2 = 0.58 ± 0.012 nm</t>
  </si>
  <si>
    <t>MSE = 2.455</t>
  </si>
  <si>
    <t>Thickness # 2 = 0.54 ± 0.012 nm</t>
  </si>
  <si>
    <t>MSE = 2.449</t>
  </si>
  <si>
    <t>0.010 g/L</t>
  </si>
  <si>
    <t>Thickness # 2 = 0.55 ± 0.012 nm</t>
  </si>
  <si>
    <t>MSE = 2.444</t>
  </si>
  <si>
    <t>MSE = 2.405</t>
  </si>
  <si>
    <t>Thickness # 2 = 0.56 ± 0.012 nm</t>
  </si>
  <si>
    <t>Thickness # 2 = 0.60 ± 0.012 nm</t>
  </si>
  <si>
    <t>MSE = 2.479</t>
  </si>
  <si>
    <t>Thickness # 2 = 0.62 ± 0.012 nm</t>
  </si>
  <si>
    <t>MSE = 2.360</t>
  </si>
  <si>
    <t>Thickness # 2 = 0.63 ± 0.011 nm</t>
  </si>
  <si>
    <t>MSE = 2.427</t>
  </si>
  <si>
    <t>Thickness # 2 = 0.67 ± 0.012 nm</t>
  </si>
  <si>
    <t>MSE = 2.457</t>
  </si>
  <si>
    <t>Thickness # 2 = 0.72 ± 0.012 nm</t>
  </si>
  <si>
    <t>MSE = 2.512</t>
  </si>
  <si>
    <t>MSE = 2.593</t>
  </si>
  <si>
    <t>MSE = 2.371</t>
  </si>
  <si>
    <t>Thickness # 2 = 0.52 ± 0.011 nm</t>
  </si>
  <si>
    <t>MSE = 2.378</t>
  </si>
  <si>
    <t>Thickness # 2 = 0.34 ± 0.011 nm</t>
  </si>
  <si>
    <t>MSE = 2.562</t>
  </si>
  <si>
    <t>Thickness # 2 = 0.35 ± 0.012 nm</t>
  </si>
  <si>
    <t>Thickness # 2 = 0.37 ± 0.012 nm</t>
  </si>
  <si>
    <t>MSE = 2.513</t>
  </si>
  <si>
    <t>Thickness # 2 = 0.66 ± 0.012 nm</t>
  </si>
  <si>
    <t>MSE = 2.323</t>
  </si>
  <si>
    <t>Thickness # 2 = 0.67 ± 0.011 nm</t>
  </si>
  <si>
    <t>MSE = 2.515</t>
  </si>
  <si>
    <t>MSE = 2.382</t>
  </si>
  <si>
    <t>Thickness # 2 = 0.35 ± 0.011 nm</t>
  </si>
  <si>
    <t>MSE = 2.467</t>
  </si>
  <si>
    <t>Thickness # 2 = 0.34 ± 0.012 nm</t>
  </si>
  <si>
    <t>MSE = 2.489</t>
  </si>
  <si>
    <t>Thickness # 2 = 0.33 ± 0.012 nm</t>
  </si>
  <si>
    <t>MSE = 2.341</t>
  </si>
  <si>
    <t>Thickness # 2 = 0.43 ± 0.011 nm</t>
  </si>
  <si>
    <t>Thickness # 2 = 0.39 ± 0.012 nm</t>
  </si>
  <si>
    <t>MSE = 2.339</t>
  </si>
  <si>
    <t>Thickness # 2 = 0.42 ± 0.011 nm</t>
  </si>
  <si>
    <t>Thickness # 2 = 0.64 ± 0.011 nm</t>
  </si>
  <si>
    <t>MSE = 2.401</t>
  </si>
  <si>
    <t>Thickness # 2 = 0.65 ± 0.012 nm</t>
  </si>
  <si>
    <t>Thickness # 2 = 0.64 ± 0.012 nm</t>
  </si>
  <si>
    <t>MSE = 2.617</t>
  </si>
  <si>
    <t>MSE = 2.315</t>
  </si>
  <si>
    <t>Native Oxide = 1.39 ± 0.009 nm</t>
  </si>
  <si>
    <t>MSE = 2.478</t>
  </si>
  <si>
    <t>MSE = 2.507</t>
  </si>
  <si>
    <t>MSE = 2.418</t>
  </si>
  <si>
    <t>Thickness # 2 = 0.29 ± 0.012 nm</t>
  </si>
  <si>
    <t>MSE = 2.357</t>
  </si>
  <si>
    <t>Thickness # 2 = 0.37 ± 0.011 nm</t>
  </si>
  <si>
    <t>MSE = 2.355</t>
  </si>
  <si>
    <t>Thickness # 2 = 0.03 ± 0.011 nm</t>
  </si>
  <si>
    <t>MSE = 2.607</t>
  </si>
  <si>
    <t>Thickness # 2 = 0.02 ± 0.013 nm</t>
  </si>
  <si>
    <t>Thickness # 2 = 0.01 ± 0.012 nm</t>
  </si>
  <si>
    <t>Total thickness of toluene coating only</t>
  </si>
  <si>
    <t>Toluene only</t>
  </si>
  <si>
    <t>MSE = 2.536</t>
  </si>
  <si>
    <t>MSE = 2.714</t>
  </si>
  <si>
    <t>Native Oxide = 1.42 ± 0.011 nm</t>
  </si>
  <si>
    <t>Native Oxide = 1.41 ± 0.011 nm</t>
  </si>
  <si>
    <t>MSE = 2.190</t>
  </si>
  <si>
    <t>Native Oxide = 1.43 ± 0.009 nm</t>
  </si>
  <si>
    <t>MSE = 2.598</t>
  </si>
  <si>
    <t>Native Oxide = 1.43 ± 0.011 nm</t>
  </si>
  <si>
    <t>MSE = 2.503</t>
  </si>
  <si>
    <t>MSE = 2.421</t>
  </si>
  <si>
    <t>MSE = 2.394</t>
  </si>
  <si>
    <t>MSE = 2.412</t>
  </si>
  <si>
    <t>MSE = 2.272</t>
  </si>
  <si>
    <t>Native Oxide = 1.42 ± 0.009 nm</t>
  </si>
  <si>
    <t>MSE = 2.389</t>
  </si>
  <si>
    <t>Native Oxide = 1.41 ± 0.010 nm</t>
  </si>
  <si>
    <t>MSE = 2.425</t>
  </si>
  <si>
    <t>MSE = 2.411</t>
  </si>
  <si>
    <t>MSE = 2.403</t>
  </si>
  <si>
    <t>MSE = 2.366</t>
  </si>
  <si>
    <t>MSE = 2.468</t>
  </si>
  <si>
    <t>MSE = 2.447</t>
  </si>
  <si>
    <t>MSE = 2.243</t>
  </si>
  <si>
    <t>MSE = 2.202</t>
  </si>
  <si>
    <t>Thickness # 2 = 0.61 ± 0.011 nm</t>
  </si>
  <si>
    <t>MSE = 2.258</t>
  </si>
  <si>
    <t>MSE = 2.908</t>
  </si>
  <si>
    <t>Thickness # 2 = 0.50 ± 0.014 nm</t>
  </si>
  <si>
    <t>MSE = 2.669</t>
  </si>
  <si>
    <t>Thickness # 2 = 0.51 ± 0.013 nm</t>
  </si>
  <si>
    <t>Thickness # 2 = 0.50 ± 0.012 nm</t>
  </si>
  <si>
    <t>MSE = 2.798</t>
  </si>
  <si>
    <t>Thickness # 2 = 0.52 ± 0.013 nm</t>
  </si>
  <si>
    <t>MSE = 2.396</t>
  </si>
  <si>
    <t>MSE = 2.359</t>
  </si>
  <si>
    <t>Thickness # 2 = 0.55 ± 0.011 nm</t>
  </si>
  <si>
    <t>MSE = 2.262</t>
  </si>
  <si>
    <t>Thickness # 2 = 0.60 ± 0.011 nm</t>
  </si>
  <si>
    <t>MSE = 2.620</t>
  </si>
  <si>
    <t>Thickness # 2 = 0.67 ± 0.013 nm</t>
  </si>
  <si>
    <t>MSE = 2.487</t>
  </si>
  <si>
    <t>Thickness # 2 = 0.69 ± 0.012 nm</t>
  </si>
  <si>
    <t>MSE = 2.322</t>
  </si>
  <si>
    <t>Thickness # 2 = 0.71 ± 0.011 nm</t>
  </si>
  <si>
    <t>MSE = 2.502</t>
  </si>
  <si>
    <t>Thickness # 2 = 0.68 ± 0.012 nm</t>
  </si>
  <si>
    <t>MSE = 2.381</t>
  </si>
  <si>
    <t>Thickness # 2 = 0.70 ± 0.011 nm</t>
  </si>
  <si>
    <t>0.0025 g/L</t>
  </si>
  <si>
    <t>0.005 g/L</t>
  </si>
  <si>
    <t>20 g/L</t>
  </si>
  <si>
    <t>40 g/L</t>
  </si>
  <si>
    <t>MSE = 2.385</t>
  </si>
  <si>
    <t>Native Oxide = 1.52 ± 0.010 nm</t>
  </si>
  <si>
    <t>MSE = 2.326</t>
  </si>
  <si>
    <t>Native Oxide = 1.53 ± 0.009 nm</t>
  </si>
  <si>
    <t>MSE = 2.590</t>
  </si>
  <si>
    <t>Native Oxide = 1.53 ± 0.011 nm</t>
  </si>
  <si>
    <t>MSE = 2.676</t>
  </si>
  <si>
    <t>Native Oxide = 1.56 ± 0.011 nm</t>
  </si>
  <si>
    <t>Native Oxide = 1.55 ± 0.010 nm</t>
  </si>
  <si>
    <t>MSE = 2.320</t>
  </si>
  <si>
    <t>Native Oxide = 1.55 ± 0.009 nm</t>
  </si>
  <si>
    <t>MSE = 2.463</t>
  </si>
  <si>
    <t>Thickness # 2 = 0.60 ± 0.014 nm</t>
  </si>
  <si>
    <t>MSE = 3.097</t>
  </si>
  <si>
    <t>Thickness # 2 = 0.61 ± 0.018 nm</t>
  </si>
  <si>
    <t>MSE = 2.228</t>
  </si>
  <si>
    <t>Thickness # 2 = 0.59 ± 0.013 nm</t>
  </si>
  <si>
    <t>MSE = 2.459</t>
  </si>
  <si>
    <t>Thickness # 2 = 0.42 ± 0.014 nm</t>
  </si>
  <si>
    <t>MSE = 2.307</t>
  </si>
  <si>
    <t>Thickness # 2 = 0.41 ± 0.013 nm</t>
  </si>
  <si>
    <t>Thickness # 2 = 0.42 ± 0.013 nm</t>
  </si>
  <si>
    <t>MSE = 2.865</t>
  </si>
  <si>
    <t>Thickness # 2 = 1.24 ± 0.016 nm</t>
  </si>
  <si>
    <t>MSE = 2.508</t>
  </si>
  <si>
    <t>Thickness # 2 = 1.08 ± 0.014 nm</t>
  </si>
  <si>
    <t>Thickness # 2 = 1.22 ± 0.015 nm</t>
  </si>
  <si>
    <t>MSE = 2.475</t>
  </si>
  <si>
    <t>Thickness # 2 = 1.14 ± 0.014 nm</t>
  </si>
  <si>
    <t>Thickness # 2 = 0.86 ± 0.014 nm</t>
  </si>
  <si>
    <t>MSE = 2.383</t>
  </si>
  <si>
    <t>MSE = 2.404</t>
  </si>
  <si>
    <t>Thickness # 2 = 0.84 ± 0.014 nm</t>
  </si>
  <si>
    <t>MSE = 2.671</t>
  </si>
  <si>
    <t>Thickness # 2 = 0.85 ± 0.015 nm</t>
  </si>
  <si>
    <t>MSE = 2.223</t>
  </si>
  <si>
    <t>Thickness # 2 = 0.90 ± 0.013 nm</t>
  </si>
  <si>
    <t>Thickness # 2 = 0.89 ± 0.014 nm</t>
  </si>
  <si>
    <t>MSE = 2.588</t>
  </si>
  <si>
    <t>Thickness # 2 = 0.92 ± 0.015 nm</t>
  </si>
  <si>
    <t>MSE = 2.335</t>
  </si>
  <si>
    <t>Thickness # 2 = 0.93 ± 0.013 nm</t>
  </si>
  <si>
    <t>MSE = 2.306</t>
  </si>
  <si>
    <t>Thickness # 2 = 0.94 ± 0.013 nm</t>
  </si>
  <si>
    <t>MSE = 2.344</t>
  </si>
  <si>
    <t>Thickness # 2 = 0.92 ± 0.013 nm</t>
  </si>
  <si>
    <t>0.01 g/L</t>
  </si>
  <si>
    <t>MSE = 2.351</t>
  </si>
  <si>
    <t>MSE = 2.372</t>
  </si>
  <si>
    <t>Native Oxide = 1.56 ± 0.010 nm</t>
  </si>
  <si>
    <t>MSE = 2.415</t>
  </si>
  <si>
    <t>Native Oxide = 1.57 ± 0.010 nm</t>
  </si>
  <si>
    <t>MSE = 2.311</t>
  </si>
  <si>
    <t>Native Oxide = 1.57 ± 0.009 nm</t>
  </si>
  <si>
    <t>MSE = 2.912</t>
  </si>
  <si>
    <t>Native Oxide = 1.61 ± 0.012 nm</t>
  </si>
  <si>
    <t>MSE = 2.319</t>
  </si>
  <si>
    <t>Native Oxide = 1.61 ± 0.009 nm</t>
  </si>
  <si>
    <t>MSE = 2.330</t>
  </si>
  <si>
    <t>Native Oxide = 1.60 ± 0.009 nm</t>
  </si>
  <si>
    <t>MSE = 2.348</t>
  </si>
  <si>
    <t>Native Oxide = 1.59 ± 0.010 nm</t>
  </si>
  <si>
    <t>MSE = 2.342</t>
  </si>
  <si>
    <t>MSE = 2.388</t>
  </si>
  <si>
    <t>Thickness # 2 = 0.52 ± 0.012 nm</t>
  </si>
  <si>
    <t>MSE = 2.333</t>
  </si>
  <si>
    <t>Thickness # 2 = 0.53 ± 0.012 nm</t>
  </si>
  <si>
    <t>MSE = 2.477</t>
  </si>
  <si>
    <t>Thickness # 2 = 0.76 ± 0.012 nm</t>
  </si>
  <si>
    <t>MSE = 2.244</t>
  </si>
  <si>
    <t>Thickness # 2 = 0.76 ± 0.011 nm</t>
  </si>
  <si>
    <t>MSE = 2.204</t>
  </si>
  <si>
    <t>Thickness # 2 = 0.62 ± 0.011 nm</t>
  </si>
  <si>
    <t>MSE = 2.288</t>
  </si>
  <si>
    <t>MSE = 2.377</t>
  </si>
  <si>
    <t>MSE = 2.266</t>
  </si>
  <si>
    <t>Thickness # 2 = 0.57 ± 0.011 nm</t>
  </si>
  <si>
    <t>MSE = 2.361</t>
  </si>
  <si>
    <t>Thickness # 2 = 0.56 ± 0.011 nm</t>
  </si>
  <si>
    <t>MSE = 2.379</t>
  </si>
  <si>
    <t>MSE = 2.510</t>
  </si>
  <si>
    <t>Thickness # 2 = 0.78 ± 0.013 nm</t>
  </si>
  <si>
    <t>Thickness # 2 = 0.79 ± 0.012 nm</t>
  </si>
  <si>
    <t>MSE = 2.245</t>
  </si>
  <si>
    <t>Thickness # 2 = 0.78 ± 0.011 nm</t>
  </si>
  <si>
    <t>MSE = 2.274</t>
  </si>
  <si>
    <t>MSE = 2.280</t>
  </si>
  <si>
    <t>MSE = 2.363</t>
  </si>
  <si>
    <t>Thickness # 2 = 0.86 ± 0.011 nm</t>
  </si>
  <si>
    <t>MSE = 2.364</t>
  </si>
  <si>
    <t>Thickness # 2 = 0.79 ± 0.011 nm</t>
  </si>
  <si>
    <t>MSE = 2.414</t>
  </si>
  <si>
    <t>Native Oxide = 1.45 ± 0.010 nm</t>
  </si>
  <si>
    <t>MSE = 2.350</t>
  </si>
  <si>
    <t>Native Oxide = 1.46 ± 0.010 nm</t>
  </si>
  <si>
    <t>MSE = 2.662</t>
  </si>
  <si>
    <t>Native Oxide = 1.51 ± 0.011 nm</t>
  </si>
  <si>
    <t>MSE = 2.370</t>
  </si>
  <si>
    <t>Native Oxide = 1.50 ± 0.010 nm</t>
  </si>
  <si>
    <t>Thickness # 2 = 0.38 ± 0.011 nm</t>
  </si>
  <si>
    <t>Thickness # 2 = 0.44 ± 0.012 nm</t>
  </si>
  <si>
    <t>MSE = 2.406</t>
  </si>
  <si>
    <t>Thickness # 2 = 0.46 ± 0.012 nm</t>
  </si>
  <si>
    <t>Thickness # 2 = 0.45 ± 0.011 nm</t>
  </si>
  <si>
    <t>MSE = 2.399</t>
  </si>
  <si>
    <t>Thickness # 2 = 0.48 ± 0.012 nm</t>
  </si>
  <si>
    <t>Thickness # 2 = 0.44 ± 0.011 nm</t>
  </si>
  <si>
    <t>MSE = 2.331</t>
  </si>
  <si>
    <t>Thickness # 2 = 0.47 ± 0.011 nm</t>
  </si>
  <si>
    <t>Thickness # 2 = 0.39 ± 0.011 nm</t>
  </si>
  <si>
    <t>MSE = 2.528</t>
  </si>
  <si>
    <t>Thickness # 2 = 0.38 ± 0.012 nm</t>
  </si>
  <si>
    <t>MSE = 2.374</t>
  </si>
  <si>
    <t>MSE = 2.362</t>
  </si>
  <si>
    <t>MSE = 2.325</t>
  </si>
  <si>
    <t>Thickness # 2 = 0.75 ± 0.012 nm</t>
  </si>
  <si>
    <t>MSE = 2.452</t>
  </si>
  <si>
    <t>Thickness # 2 = 0.74 ± 0.012 nm</t>
  </si>
  <si>
    <t>MSE = 2.587</t>
  </si>
  <si>
    <t>MSE = 2.843</t>
  </si>
  <si>
    <t>MSE = 2.631</t>
  </si>
  <si>
    <t>Thickness # 2 = 0.85 ± 0.013 nm</t>
  </si>
  <si>
    <t>MSE = 2.316</t>
  </si>
  <si>
    <t>Thickness # 2 = 0.85 ± 0.011 nm</t>
  </si>
  <si>
    <t>Thickness # 2 = 0.83 ± 0.012 nm</t>
  </si>
  <si>
    <t>MSE = 3.776</t>
  </si>
  <si>
    <t>Thickness # 2 = 0.83 ± 0.018 nm</t>
  </si>
  <si>
    <t>MSE = 3.086</t>
  </si>
  <si>
    <t>Thickness # 2 = 0.83 ± 0.015 nm</t>
  </si>
  <si>
    <t>MSE = 2.521</t>
  </si>
  <si>
    <t>MSE = 2.601</t>
  </si>
  <si>
    <t>Thickness # 2 = 0.70 ± 0.013 nm</t>
  </si>
  <si>
    <t>MSE = 2.472</t>
  </si>
  <si>
    <t>Thickness # 2 = 0.63 ± 0.012 nm</t>
  </si>
  <si>
    <t>MSE = 2.443</t>
  </si>
  <si>
    <t>MSE = 2.349</t>
  </si>
  <si>
    <t>Native Oxide = 1.48 ± 0.010 nm</t>
  </si>
  <si>
    <t>MSE = 2.218</t>
  </si>
  <si>
    <t>Native Oxide = 1.49 ± 0.009 nm</t>
  </si>
  <si>
    <t>MSE = 2.292</t>
  </si>
  <si>
    <t>Native Oxide = 1.48 ± 0.009 nm</t>
  </si>
  <si>
    <t>MSE = 2.655</t>
  </si>
  <si>
    <t>Thickness # 2 = 0.80 ± 0.013 nm</t>
  </si>
  <si>
    <t>MSE = 3.360</t>
  </si>
  <si>
    <t>Thickness # 2 = 0.80 ± 0.016 nm</t>
  </si>
  <si>
    <t>MSE = 3.722</t>
  </si>
  <si>
    <t>Thickness # 2 = 0.80 ± 0.018 nm</t>
  </si>
  <si>
    <t>MSE = 2.630</t>
  </si>
  <si>
    <t>MSE = 2.847</t>
  </si>
  <si>
    <t>Thickness # 2 = 0.78 ± 0.014 nm</t>
  </si>
  <si>
    <t>MSE = 2.698</t>
  </si>
  <si>
    <t>Thickness # 2 = 0.63 ± 0.013 nm</t>
  </si>
  <si>
    <t>MSE = 2.437</t>
  </si>
  <si>
    <t>Concentration</t>
  </si>
  <si>
    <t xml:space="preserve"> (g/L)</t>
  </si>
  <si>
    <t xml:space="preserve">Total Thickness </t>
  </si>
  <si>
    <t>(nm)</t>
  </si>
  <si>
    <t>Bonded Thickness</t>
  </si>
  <si>
    <t xml:space="preserve"> (nm)</t>
  </si>
  <si>
    <r>
      <t xml:space="preserve">0.52 ± </t>
    </r>
    <r>
      <rPr>
        <sz val="14"/>
        <color rgb="FFFF0000"/>
        <rFont val="Calibri"/>
      </rPr>
      <t>0.001</t>
    </r>
  </si>
  <si>
    <r>
      <t xml:space="preserve">0.39± </t>
    </r>
    <r>
      <rPr>
        <sz val="14"/>
        <color rgb="FFC00000"/>
        <rFont val="Calibri"/>
      </rPr>
      <t>0.001</t>
    </r>
  </si>
  <si>
    <r>
      <t xml:space="preserve">0.53 ± </t>
    </r>
    <r>
      <rPr>
        <sz val="14"/>
        <color rgb="FFFF0000"/>
        <rFont val="Calibri"/>
      </rPr>
      <t>0.0</t>
    </r>
  </si>
  <si>
    <r>
      <t xml:space="preserve">0.44± </t>
    </r>
    <r>
      <rPr>
        <sz val="14"/>
        <color rgb="FFC00000"/>
        <rFont val="Calibri"/>
      </rPr>
      <t>0.001</t>
    </r>
  </si>
  <si>
    <r>
      <t xml:space="preserve">0.75 ± </t>
    </r>
    <r>
      <rPr>
        <sz val="14"/>
        <color rgb="FFFF0000"/>
        <rFont val="Calibri"/>
      </rPr>
      <t>0.0</t>
    </r>
  </si>
  <si>
    <r>
      <t xml:space="preserve">0.46± </t>
    </r>
    <r>
      <rPr>
        <sz val="14"/>
        <color rgb="FFC00000"/>
        <rFont val="Calibri"/>
      </rPr>
      <t>0.001</t>
    </r>
  </si>
  <si>
    <r>
      <t xml:space="preserve">0.62 ± </t>
    </r>
    <r>
      <rPr>
        <sz val="14"/>
        <color rgb="FFFF0000"/>
        <rFont val="Calibri"/>
      </rPr>
      <t>0.0</t>
    </r>
  </si>
  <si>
    <r>
      <t>0.46 ±</t>
    </r>
    <r>
      <rPr>
        <sz val="14"/>
        <color rgb="FFC00000"/>
        <rFont val="Calibri"/>
      </rPr>
      <t>0.001</t>
    </r>
  </si>
  <si>
    <r>
      <t xml:space="preserve">0.56 ± </t>
    </r>
    <r>
      <rPr>
        <sz val="14"/>
        <color rgb="FFFF0000"/>
        <rFont val="Calibri"/>
      </rPr>
      <t>0.0</t>
    </r>
  </si>
  <si>
    <r>
      <t xml:space="preserve">0.39 ± </t>
    </r>
    <r>
      <rPr>
        <sz val="14"/>
        <color rgb="FFC00000"/>
        <rFont val="Calibri"/>
      </rPr>
      <t>0.001</t>
    </r>
  </si>
  <si>
    <r>
      <t xml:space="preserve">0.63 ± </t>
    </r>
    <r>
      <rPr>
        <sz val="14"/>
        <color rgb="FFFF0000"/>
        <rFont val="Calibri"/>
      </rPr>
      <t>0.001</t>
    </r>
  </si>
  <si>
    <r>
      <t xml:space="preserve">0.78 ± </t>
    </r>
    <r>
      <rPr>
        <sz val="14"/>
        <color rgb="FFFF0000"/>
        <rFont val="Calibri"/>
      </rPr>
      <t>0.0</t>
    </r>
  </si>
  <si>
    <r>
      <t xml:space="preserve">0.40 ± </t>
    </r>
    <r>
      <rPr>
        <sz val="14"/>
        <color rgb="FFC00000"/>
        <rFont val="Calibri"/>
      </rPr>
      <t>0.001</t>
    </r>
  </si>
  <si>
    <r>
      <t xml:space="preserve">0.80 ± </t>
    </r>
    <r>
      <rPr>
        <sz val="14"/>
        <color rgb="FFFF0000"/>
        <rFont val="Calibri"/>
      </rPr>
      <t>0.0</t>
    </r>
  </si>
  <si>
    <r>
      <t xml:space="preserve">0.49 ± </t>
    </r>
    <r>
      <rPr>
        <sz val="14"/>
        <color rgb="FFC00000"/>
        <rFont val="Calibri"/>
      </rPr>
      <t>0.001</t>
    </r>
  </si>
  <si>
    <r>
      <t xml:space="preserve">0.67 ± </t>
    </r>
    <r>
      <rPr>
        <sz val="14"/>
        <color rgb="FFFF0000"/>
        <rFont val="Calibri"/>
      </rPr>
      <t>0.001</t>
    </r>
  </si>
  <si>
    <t>0.20 ± 0.0</t>
  </si>
  <si>
    <t>0.23 ± 0.001</t>
  </si>
  <si>
    <r>
      <t xml:space="preserve">0.60 ± </t>
    </r>
    <r>
      <rPr>
        <sz val="14"/>
        <color rgb="FFFF0000"/>
        <rFont val="Calibri"/>
      </rPr>
      <t>0.001</t>
    </r>
  </si>
  <si>
    <t>0.34 ± 0.0</t>
  </si>
  <si>
    <r>
      <t xml:space="preserve">0.64 ± </t>
    </r>
    <r>
      <rPr>
        <sz val="14"/>
        <color rgb="FFFF0000"/>
        <rFont val="Calibri"/>
      </rPr>
      <t>0.001</t>
    </r>
  </si>
  <si>
    <r>
      <t xml:space="preserve">0.35 </t>
    </r>
    <r>
      <rPr>
        <sz val="14"/>
        <color rgb="FF000000"/>
        <rFont val="Arial"/>
      </rPr>
      <t>± 0.001</t>
    </r>
  </si>
  <si>
    <r>
      <t xml:space="preserve">0.34± </t>
    </r>
    <r>
      <rPr>
        <sz val="14"/>
        <color rgb="FFC00000"/>
        <rFont val="Calibri"/>
      </rPr>
      <t>0.0</t>
    </r>
    <r>
      <rPr>
        <sz val="14"/>
        <color rgb="FF000000"/>
        <rFont val="Calibri"/>
      </rPr>
      <t xml:space="preserve"> </t>
    </r>
  </si>
  <si>
    <r>
      <t xml:space="preserve">0.60 ± </t>
    </r>
    <r>
      <rPr>
        <sz val="14"/>
        <color rgb="FFC00000"/>
        <rFont val="Calibri"/>
      </rPr>
      <t>0.0</t>
    </r>
    <r>
      <rPr>
        <sz val="14"/>
        <color rgb="FF000000"/>
        <rFont val="Calibri"/>
      </rPr>
      <t xml:space="preserve"> </t>
    </r>
  </si>
  <si>
    <r>
      <t xml:space="preserve">0.83 ± </t>
    </r>
    <r>
      <rPr>
        <sz val="14"/>
        <color rgb="FFFF0000"/>
        <rFont val="Calibri"/>
      </rPr>
      <t>0.0</t>
    </r>
  </si>
  <si>
    <r>
      <t xml:space="preserve">0.66 ± </t>
    </r>
    <r>
      <rPr>
        <sz val="14"/>
        <color rgb="FFC00000"/>
        <rFont val="Calibri"/>
      </rPr>
      <t>0.001</t>
    </r>
    <r>
      <rPr>
        <sz val="14"/>
        <color rgb="FF000000"/>
        <rFont val="Calibri"/>
      </rPr>
      <t xml:space="preserve"> </t>
    </r>
  </si>
  <si>
    <t xml:space="preserve">Mobile Thickness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</si>
</sst>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3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  <font>
      <b/>
      <sz val="11"/>
      <color theme="1"/>
      <name val="Arial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rgb="FFFFFFFF"/>
      <name val="Calibri"/>
    </font>
    <font>
      <sz val="14"/>
      <color rgb="FF000000"/>
      <name val="Calibri"/>
    </font>
    <font>
      <sz val="14"/>
      <color rgb="FFFF0000"/>
      <name val="Calibri"/>
    </font>
    <font>
      <sz val="14"/>
      <color rgb="FFC00000"/>
      <name val="Calibri"/>
    </font>
    <font>
      <sz val="14"/>
      <color rgb="FF000000"/>
      <name val="Arial"/>
    </font>
  </fonts>
  <fills count="2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772D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FD5EA"/>
        <bgColor indexed="64"/>
      </patternFill>
    </fill>
    <fill>
      <patternFill patternType="solid">
        <fgColor rgb="FFE9EBF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/>
      <bottom/>
      <diagonal/>
    </border>
  </borders>
  <cellStyleXfs count="1">
    <xf numFmtId="0" fontId="0" fillId="0" borderId="0"/>
  </cellStyleXfs>
  <cellXfs count="290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 applyAlignment="1">
      <alignment horizontal="right"/>
    </xf>
    <xf numFmtId="0" fontId="2" fillId="0" borderId="0" xfId="0" applyFont="1"/>
    <xf numFmtId="0" fontId="1" fillId="2" borderId="0" xfId="0" applyFont="1" applyFill="1"/>
    <xf numFmtId="2" fontId="0" fillId="2" borderId="0" xfId="0" applyNumberFormat="1" applyFill="1" applyAlignment="1">
      <alignment horizontal="left"/>
    </xf>
    <xf numFmtId="0" fontId="2" fillId="3" borderId="0" xfId="0" applyFont="1" applyFill="1"/>
    <xf numFmtId="0" fontId="0" fillId="4" borderId="0" xfId="0" applyFill="1"/>
    <xf numFmtId="2" fontId="1" fillId="2" borderId="0" xfId="0" applyNumberFormat="1" applyFon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right"/>
    </xf>
    <xf numFmtId="2" fontId="1" fillId="0" borderId="0" xfId="0" applyNumberFormat="1" applyFont="1" applyFill="1" applyAlignment="1">
      <alignment horizontal="left"/>
    </xf>
    <xf numFmtId="2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14" fontId="1" fillId="4" borderId="0" xfId="0" applyNumberFormat="1" applyFont="1" applyFill="1"/>
    <xf numFmtId="0" fontId="0" fillId="5" borderId="0" xfId="0" applyFill="1"/>
    <xf numFmtId="0" fontId="2" fillId="5" borderId="0" xfId="0" applyFont="1" applyFill="1"/>
    <xf numFmtId="0" fontId="0" fillId="3" borderId="0" xfId="0" applyFill="1"/>
    <xf numFmtId="0" fontId="0" fillId="6" borderId="0" xfId="0" applyFill="1"/>
    <xf numFmtId="2" fontId="3" fillId="2" borderId="0" xfId="0" applyNumberFormat="1" applyFont="1" applyFill="1" applyAlignment="1">
      <alignment horizontal="left"/>
    </xf>
    <xf numFmtId="0" fontId="4" fillId="0" borderId="0" xfId="0" applyFont="1"/>
    <xf numFmtId="0" fontId="5" fillId="0" borderId="0" xfId="0" applyFont="1"/>
    <xf numFmtId="2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/>
    <xf numFmtId="0" fontId="0" fillId="4" borderId="0" xfId="0" applyFill="1" applyAlignment="1">
      <alignment horizontal="left"/>
    </xf>
    <xf numFmtId="0" fontId="2" fillId="7" borderId="0" xfId="0" applyFont="1" applyFill="1"/>
    <xf numFmtId="0" fontId="0" fillId="7" borderId="0" xfId="0" applyFill="1"/>
    <xf numFmtId="0" fontId="1" fillId="7" borderId="0" xfId="0" applyFont="1" applyFill="1" applyAlignment="1">
      <alignment vertical="top"/>
    </xf>
    <xf numFmtId="0" fontId="1" fillId="7" borderId="0" xfId="0" applyFont="1" applyFill="1"/>
    <xf numFmtId="0" fontId="6" fillId="7" borderId="0" xfId="0" applyFont="1" applyFill="1"/>
    <xf numFmtId="0" fontId="7" fillId="7" borderId="0" xfId="0" applyFont="1" applyFill="1"/>
    <xf numFmtId="0" fontId="7" fillId="5" borderId="0" xfId="0" applyFont="1" applyFill="1"/>
    <xf numFmtId="0" fontId="0" fillId="3" borderId="0" xfId="0" applyFill="1" applyAlignment="1">
      <alignment horizontal="right"/>
    </xf>
    <xf numFmtId="2" fontId="0" fillId="3" borderId="0" xfId="0" applyNumberFormat="1" applyFill="1" applyAlignment="1">
      <alignment horizontal="left"/>
    </xf>
    <xf numFmtId="0" fontId="2" fillId="4" borderId="0" xfId="0" applyFont="1" applyFill="1" applyAlignment="1">
      <alignment horizontal="left"/>
    </xf>
    <xf numFmtId="2" fontId="8" fillId="2" borderId="0" xfId="0" applyNumberFormat="1" applyFont="1" applyFill="1" applyAlignment="1">
      <alignment horizontal="left"/>
    </xf>
    <xf numFmtId="2" fontId="9" fillId="2" borderId="0" xfId="0" applyNumberFormat="1" applyFont="1" applyFill="1" applyAlignment="1">
      <alignment horizontal="left"/>
    </xf>
    <xf numFmtId="0" fontId="0" fillId="8" borderId="0" xfId="0" applyFill="1"/>
    <xf numFmtId="0" fontId="1" fillId="0" borderId="0" xfId="0" applyFont="1" applyFill="1"/>
    <xf numFmtId="2" fontId="8" fillId="0" borderId="0" xfId="0" applyNumberFormat="1" applyFont="1" applyFill="1" applyAlignment="1">
      <alignment horizontal="left"/>
    </xf>
    <xf numFmtId="2" fontId="8" fillId="5" borderId="0" xfId="0" applyNumberFormat="1" applyFont="1" applyFill="1" applyAlignment="1">
      <alignment horizontal="left"/>
    </xf>
    <xf numFmtId="2" fontId="9" fillId="5" borderId="0" xfId="0" applyNumberFormat="1" applyFont="1" applyFill="1" applyAlignment="1">
      <alignment horizontal="left"/>
    </xf>
    <xf numFmtId="0" fontId="0" fillId="10" borderId="0" xfId="0" applyFill="1"/>
    <xf numFmtId="0" fontId="1" fillId="10" borderId="0" xfId="0" applyFont="1" applyFill="1"/>
    <xf numFmtId="0" fontId="7" fillId="0" borderId="0" xfId="0" applyFont="1" applyFill="1"/>
    <xf numFmtId="0" fontId="0" fillId="11" borderId="0" xfId="0" applyFill="1"/>
    <xf numFmtId="0" fontId="1" fillId="11" borderId="0" xfId="0" applyFont="1" applyFill="1"/>
    <xf numFmtId="0" fontId="1" fillId="12" borderId="0" xfId="0" applyFont="1" applyFill="1"/>
    <xf numFmtId="0" fontId="0" fillId="12" borderId="0" xfId="0" applyFill="1"/>
    <xf numFmtId="0" fontId="0" fillId="0" borderId="0" xfId="0" applyFill="1" applyBorder="1"/>
    <xf numFmtId="0" fontId="10" fillId="0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0" fontId="11" fillId="9" borderId="1" xfId="0" applyFont="1" applyFill="1" applyBorder="1" applyAlignment="1">
      <alignment horizontal="center"/>
    </xf>
    <xf numFmtId="0" fontId="0" fillId="0" borderId="0" xfId="0" applyFill="1" applyAlignment="1"/>
    <xf numFmtId="0" fontId="1" fillId="2" borderId="0" xfId="0" applyFont="1" applyFill="1" applyAlignment="1">
      <alignment horizontal="left"/>
    </xf>
    <xf numFmtId="0" fontId="1" fillId="3" borderId="0" xfId="0" applyFont="1" applyFill="1"/>
    <xf numFmtId="0" fontId="2" fillId="3" borderId="0" xfId="0" applyFont="1" applyFill="1" applyAlignment="1">
      <alignment horizontal="left"/>
    </xf>
    <xf numFmtId="14" fontId="1" fillId="3" borderId="0" xfId="0" applyNumberFormat="1" applyFont="1" applyFill="1"/>
    <xf numFmtId="0" fontId="11" fillId="9" borderId="1" xfId="0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Fill="1" applyBorder="1"/>
    <xf numFmtId="0" fontId="0" fillId="0" borderId="0" xfId="0" applyFill="1" applyBorder="1" applyAlignment="1">
      <alignment horizontal="right"/>
    </xf>
    <xf numFmtId="2" fontId="0" fillId="0" borderId="0" xfId="0" applyNumberFormat="1" applyFill="1" applyBorder="1" applyAlignment="1">
      <alignment horizontal="left"/>
    </xf>
    <xf numFmtId="0" fontId="0" fillId="6" borderId="0" xfId="0" applyFill="1" applyBorder="1"/>
    <xf numFmtId="0" fontId="6" fillId="6" borderId="0" xfId="0" applyFont="1" applyFill="1"/>
    <xf numFmtId="0" fontId="0" fillId="14" borderId="0" xfId="0" applyFill="1"/>
    <xf numFmtId="0" fontId="0" fillId="14" borderId="0" xfId="0" applyFill="1" applyBorder="1"/>
    <xf numFmtId="0" fontId="6" fillId="14" borderId="0" xfId="0" applyFont="1" applyFill="1"/>
    <xf numFmtId="2" fontId="1" fillId="3" borderId="0" xfId="0" applyNumberFormat="1" applyFont="1" applyFill="1" applyAlignment="1">
      <alignment horizontal="left"/>
    </xf>
    <xf numFmtId="0" fontId="1" fillId="4" borderId="0" xfId="0" applyFont="1" applyFill="1"/>
    <xf numFmtId="2" fontId="1" fillId="4" borderId="0" xfId="0" applyNumberFormat="1" applyFont="1" applyFill="1"/>
    <xf numFmtId="0" fontId="13" fillId="5" borderId="0" xfId="0" applyFont="1" applyFill="1"/>
    <xf numFmtId="0" fontId="11" fillId="0" borderId="0" xfId="0" applyFont="1"/>
    <xf numFmtId="0" fontId="11" fillId="0" borderId="1" xfId="0" applyFont="1" applyBorder="1" applyAlignment="1">
      <alignment horizontal="center"/>
    </xf>
    <xf numFmtId="0" fontId="10" fillId="0" borderId="0" xfId="0" applyFont="1"/>
    <xf numFmtId="0" fontId="10" fillId="4" borderId="1" xfId="0" applyFont="1" applyFill="1" applyBorder="1" applyAlignment="1">
      <alignment horizontal="center"/>
    </xf>
    <xf numFmtId="0" fontId="15" fillId="5" borderId="0" xfId="0" applyFont="1" applyFill="1"/>
    <xf numFmtId="0" fontId="16" fillId="11" borderId="0" xfId="0" applyFont="1" applyFill="1"/>
    <xf numFmtId="0" fontId="15" fillId="11" borderId="0" xfId="0" applyFont="1" applyFill="1"/>
    <xf numFmtId="0" fontId="17" fillId="11" borderId="0" xfId="0" applyFont="1" applyFill="1"/>
    <xf numFmtId="0" fontId="16" fillId="5" borderId="0" xfId="0" applyFont="1" applyFill="1"/>
    <xf numFmtId="0" fontId="17" fillId="5" borderId="0" xfId="0" applyFont="1" applyFill="1"/>
    <xf numFmtId="0" fontId="16" fillId="0" borderId="0" xfId="0" applyFont="1"/>
    <xf numFmtId="0" fontId="10" fillId="15" borderId="1" xfId="0" applyFont="1" applyFill="1" applyBorder="1" applyAlignment="1">
      <alignment horizontal="center"/>
    </xf>
    <xf numFmtId="0" fontId="9" fillId="6" borderId="0" xfId="0" applyFont="1" applyFill="1"/>
    <xf numFmtId="0" fontId="9" fillId="6" borderId="0" xfId="0" applyFont="1" applyFill="1" applyAlignment="1">
      <alignment horizontal="left"/>
    </xf>
    <xf numFmtId="0" fontId="1" fillId="0" borderId="0" xfId="0" applyFont="1"/>
    <xf numFmtId="49" fontId="1" fillId="0" borderId="0" xfId="0" applyNumberFormat="1" applyFont="1"/>
    <xf numFmtId="164" fontId="1" fillId="0" borderId="0" xfId="0" applyNumberFormat="1" applyFont="1"/>
    <xf numFmtId="2" fontId="9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9" fillId="6" borderId="0" xfId="0" applyFont="1" applyFill="1" applyAlignment="1">
      <alignment horizontal="center"/>
    </xf>
    <xf numFmtId="0" fontId="2" fillId="0" borderId="0" xfId="0" applyFont="1" applyFill="1"/>
    <xf numFmtId="14" fontId="0" fillId="0" borderId="0" xfId="0" applyNumberFormat="1" applyFill="1"/>
    <xf numFmtId="0" fontId="0" fillId="2" borderId="6" xfId="0" applyFill="1" applyBorder="1"/>
    <xf numFmtId="0" fontId="1" fillId="2" borderId="7" xfId="0" applyFont="1" applyFill="1" applyBorder="1"/>
    <xf numFmtId="0" fontId="0" fillId="2" borderId="7" xfId="0" applyFill="1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2" borderId="10" xfId="0" applyFill="1" applyBorder="1" applyAlignment="1">
      <alignment horizontal="right"/>
    </xf>
    <xf numFmtId="2" fontId="9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0" fillId="0" borderId="12" xfId="0" applyBorder="1"/>
    <xf numFmtId="0" fontId="0" fillId="0" borderId="8" xfId="0" applyFill="1" applyBorder="1"/>
    <xf numFmtId="0" fontId="0" fillId="0" borderId="5" xfId="0" applyFill="1" applyBorder="1"/>
    <xf numFmtId="0" fontId="0" fillId="2" borderId="8" xfId="0" applyFill="1" applyBorder="1"/>
    <xf numFmtId="0" fontId="0" fillId="2" borderId="12" xfId="0" applyFill="1" applyBorder="1"/>
    <xf numFmtId="14" fontId="18" fillId="16" borderId="0" xfId="0" applyNumberFormat="1" applyFont="1" applyFill="1"/>
    <xf numFmtId="14" fontId="16" fillId="16" borderId="0" xfId="0" applyNumberFormat="1" applyFont="1" applyFill="1"/>
    <xf numFmtId="2" fontId="1" fillId="17" borderId="0" xfId="0" applyNumberFormat="1" applyFont="1" applyFill="1" applyAlignment="1">
      <alignment horizontal="left"/>
    </xf>
    <xf numFmtId="2" fontId="1" fillId="11" borderId="0" xfId="0" applyNumberFormat="1" applyFont="1" applyFill="1" applyAlignment="1">
      <alignment horizontal="left"/>
    </xf>
    <xf numFmtId="0" fontId="1" fillId="11" borderId="0" xfId="0" applyFont="1" applyFill="1" applyAlignment="1">
      <alignment horizontal="right"/>
    </xf>
    <xf numFmtId="0" fontId="1" fillId="11" borderId="0" xfId="0" applyFont="1" applyFill="1" applyBorder="1"/>
    <xf numFmtId="0" fontId="1" fillId="11" borderId="0" xfId="0" applyFont="1" applyFill="1" applyBorder="1" applyAlignment="1">
      <alignment horizontal="right"/>
    </xf>
    <xf numFmtId="2" fontId="1" fillId="11" borderId="0" xfId="0" applyNumberFormat="1" applyFont="1" applyFill="1" applyBorder="1" applyAlignment="1">
      <alignment horizontal="left"/>
    </xf>
    <xf numFmtId="0" fontId="1" fillId="17" borderId="0" xfId="0" applyFont="1" applyFill="1" applyAlignment="1">
      <alignment horizontal="right"/>
    </xf>
    <xf numFmtId="0" fontId="1" fillId="17" borderId="0" xfId="0" applyFont="1" applyFill="1"/>
    <xf numFmtId="0" fontId="1" fillId="17" borderId="0" xfId="0" applyFont="1" applyFill="1" applyBorder="1"/>
    <xf numFmtId="0" fontId="1" fillId="17" borderId="0" xfId="0" applyFont="1" applyFill="1" applyBorder="1" applyAlignment="1">
      <alignment horizontal="right"/>
    </xf>
    <xf numFmtId="2" fontId="1" fillId="17" borderId="0" xfId="0" applyNumberFormat="1" applyFont="1" applyFill="1" applyBorder="1" applyAlignment="1">
      <alignment horizontal="left"/>
    </xf>
    <xf numFmtId="0" fontId="0" fillId="5" borderId="0" xfId="0" applyFill="1" applyBorder="1"/>
    <xf numFmtId="0" fontId="6" fillId="5" borderId="0" xfId="0" applyFont="1" applyFill="1"/>
    <xf numFmtId="164" fontId="1" fillId="11" borderId="0" xfId="0" applyNumberFormat="1" applyFont="1" applyFill="1" applyAlignment="1">
      <alignment horizontal="left"/>
    </xf>
    <xf numFmtId="0" fontId="1" fillId="11" borderId="0" xfId="0" applyFont="1" applyFill="1" applyAlignment="1">
      <alignment horizontal="left"/>
    </xf>
    <xf numFmtId="165" fontId="1" fillId="11" borderId="0" xfId="0" applyNumberFormat="1" applyFont="1" applyFill="1" applyAlignment="1">
      <alignment horizontal="left"/>
    </xf>
    <xf numFmtId="166" fontId="1" fillId="11" borderId="0" xfId="0" applyNumberFormat="1" applyFont="1" applyFill="1" applyAlignment="1">
      <alignment horizontal="left"/>
    </xf>
    <xf numFmtId="0" fontId="9" fillId="14" borderId="0" xfId="0" applyFont="1" applyFill="1" applyAlignment="1">
      <alignment horizontal="center"/>
    </xf>
    <xf numFmtId="0" fontId="9" fillId="14" borderId="0" xfId="0" applyFont="1" applyFill="1"/>
    <xf numFmtId="0" fontId="9" fillId="14" borderId="0" xfId="0" applyFont="1" applyFill="1" applyAlignment="1">
      <alignment horizontal="left"/>
    </xf>
    <xf numFmtId="0" fontId="2" fillId="4" borderId="0" xfId="0" applyFont="1" applyFill="1"/>
    <xf numFmtId="0" fontId="19" fillId="5" borderId="0" xfId="0" applyFont="1" applyFill="1" applyBorder="1"/>
    <xf numFmtId="0" fontId="20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24" fillId="0" borderId="8" xfId="0" applyFont="1" applyBorder="1"/>
    <xf numFmtId="0" fontId="7" fillId="4" borderId="6" xfId="0" applyFont="1" applyFill="1" applyBorder="1"/>
    <xf numFmtId="0" fontId="7" fillId="4" borderId="7" xfId="0" applyFont="1" applyFill="1" applyBorder="1"/>
    <xf numFmtId="0" fontId="7" fillId="0" borderId="8" xfId="0" applyFont="1" applyBorder="1"/>
    <xf numFmtId="0" fontId="7" fillId="4" borderId="0" xfId="0" applyFont="1" applyFill="1"/>
    <xf numFmtId="0" fontId="7" fillId="0" borderId="0" xfId="0" applyFont="1"/>
    <xf numFmtId="0" fontId="24" fillId="0" borderId="0" xfId="0" applyFont="1" applyFill="1"/>
    <xf numFmtId="0" fontId="24" fillId="0" borderId="0" xfId="0" applyFont="1"/>
    <xf numFmtId="0" fontId="24" fillId="0" borderId="9" xfId="0" applyFont="1" applyBorder="1"/>
    <xf numFmtId="0" fontId="24" fillId="0" borderId="0" xfId="0" applyFont="1" applyBorder="1"/>
    <xf numFmtId="0" fontId="24" fillId="0" borderId="5" xfId="0" applyFont="1" applyBorder="1"/>
    <xf numFmtId="0" fontId="24" fillId="0" borderId="10" xfId="0" applyFont="1" applyBorder="1"/>
    <xf numFmtId="0" fontId="24" fillId="0" borderId="11" xfId="0" applyFont="1" applyBorder="1"/>
    <xf numFmtId="0" fontId="24" fillId="0" borderId="12" xfId="0" applyFont="1" applyBorder="1"/>
    <xf numFmtId="0" fontId="7" fillId="2" borderId="0" xfId="0" applyFont="1" applyFill="1" applyAlignment="1">
      <alignment horizontal="right"/>
    </xf>
    <xf numFmtId="0" fontId="7" fillId="2" borderId="0" xfId="0" applyFont="1" applyFill="1" applyAlignment="1">
      <alignment horizontal="left"/>
    </xf>
    <xf numFmtId="2" fontId="7" fillId="2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right"/>
    </xf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11" borderId="0" xfId="0" applyFont="1" applyFill="1"/>
    <xf numFmtId="0" fontId="7" fillId="11" borderId="0" xfId="0" applyFont="1" applyFill="1" applyAlignment="1">
      <alignment horizontal="left"/>
    </xf>
    <xf numFmtId="0" fontId="24" fillId="18" borderId="0" xfId="0" applyFont="1" applyFill="1"/>
    <xf numFmtId="0" fontId="7" fillId="18" borderId="0" xfId="0" applyFont="1" applyFill="1" applyAlignment="1"/>
    <xf numFmtId="0" fontId="25" fillId="18" borderId="0" xfId="0" applyFont="1" applyFill="1" applyAlignment="1"/>
    <xf numFmtId="0" fontId="7" fillId="0" borderId="0" xfId="0" applyFont="1" applyFill="1" applyAlignment="1"/>
    <xf numFmtId="0" fontId="7" fillId="4" borderId="0" xfId="0" applyFont="1" applyFill="1" applyAlignment="1"/>
    <xf numFmtId="0" fontId="24" fillId="0" borderId="0" xfId="0" applyFont="1" applyFill="1" applyAlignment="1">
      <alignment wrapText="1"/>
    </xf>
    <xf numFmtId="0" fontId="24" fillId="0" borderId="0" xfId="0" applyFont="1" applyAlignment="1">
      <alignment wrapText="1"/>
    </xf>
    <xf numFmtId="0" fontId="24" fillId="0" borderId="0" xfId="0" applyFont="1" applyAlignment="1">
      <alignment horizontal="left"/>
    </xf>
    <xf numFmtId="0" fontId="7" fillId="19" borderId="0" xfId="0" applyFont="1" applyFill="1" applyAlignment="1">
      <alignment horizontal="right"/>
    </xf>
    <xf numFmtId="2" fontId="7" fillId="19" borderId="0" xfId="0" applyNumberFormat="1" applyFont="1" applyFill="1" applyAlignment="1">
      <alignment horizontal="left"/>
    </xf>
    <xf numFmtId="0" fontId="7" fillId="20" borderId="0" xfId="0" applyFont="1" applyFill="1" applyAlignment="1">
      <alignment horizontal="right"/>
    </xf>
    <xf numFmtId="0" fontId="7" fillId="20" borderId="0" xfId="0" applyFont="1" applyFill="1" applyAlignment="1">
      <alignment horizontal="left"/>
    </xf>
    <xf numFmtId="0" fontId="0" fillId="18" borderId="0" xfId="0" applyFill="1"/>
    <xf numFmtId="0" fontId="20" fillId="0" borderId="0" xfId="0" applyFont="1"/>
    <xf numFmtId="0" fontId="2" fillId="19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20" borderId="0" xfId="0" applyFont="1" applyFill="1" applyAlignment="1">
      <alignment horizontal="right"/>
    </xf>
    <xf numFmtId="0" fontId="26" fillId="18" borderId="0" xfId="0" applyFont="1" applyFill="1" applyAlignment="1"/>
    <xf numFmtId="0" fontId="7" fillId="15" borderId="1" xfId="0" applyFont="1" applyFill="1" applyBorder="1" applyAlignment="1">
      <alignment horizontal="center"/>
    </xf>
    <xf numFmtId="2" fontId="7" fillId="15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24" fillId="11" borderId="0" xfId="0" applyFont="1" applyFill="1"/>
    <xf numFmtId="0" fontId="0" fillId="21" borderId="0" xfId="0" applyFill="1"/>
    <xf numFmtId="0" fontId="0" fillId="6" borderId="0" xfId="0" applyFill="1" applyAlignment="1">
      <alignment horizontal="right"/>
    </xf>
    <xf numFmtId="0" fontId="0" fillId="6" borderId="0" xfId="0" applyFill="1" applyAlignment="1">
      <alignment horizontal="left"/>
    </xf>
    <xf numFmtId="164" fontId="1" fillId="5" borderId="0" xfId="0" applyNumberFormat="1" applyFont="1" applyFill="1" applyAlignment="1">
      <alignment horizontal="left"/>
    </xf>
    <xf numFmtId="166" fontId="1" fillId="5" borderId="0" xfId="0" applyNumberFormat="1" applyFont="1" applyFill="1" applyAlignment="1">
      <alignment horizontal="left"/>
    </xf>
    <xf numFmtId="164" fontId="1" fillId="18" borderId="0" xfId="0" applyNumberFormat="1" applyFont="1" applyFill="1" applyAlignment="1">
      <alignment horizontal="left"/>
    </xf>
    <xf numFmtId="166" fontId="1" fillId="18" borderId="0" xfId="0" applyNumberFormat="1" applyFont="1" applyFill="1" applyAlignment="1">
      <alignment horizontal="left"/>
    </xf>
    <xf numFmtId="0" fontId="2" fillId="10" borderId="1" xfId="0" applyFont="1" applyFill="1" applyBorder="1" applyAlignment="1">
      <alignment horizontal="center"/>
    </xf>
    <xf numFmtId="0" fontId="0" fillId="22" borderId="0" xfId="0" applyFill="1"/>
    <xf numFmtId="0" fontId="1" fillId="22" borderId="0" xfId="0" applyFont="1" applyFill="1"/>
    <xf numFmtId="165" fontId="1" fillId="22" borderId="0" xfId="0" applyNumberFormat="1" applyFont="1" applyFill="1"/>
    <xf numFmtId="166" fontId="1" fillId="22" borderId="0" xfId="0" applyNumberFormat="1" applyFont="1" applyFill="1"/>
    <xf numFmtId="165" fontId="0" fillId="22" borderId="0" xfId="0" applyNumberFormat="1" applyFill="1"/>
    <xf numFmtId="0" fontId="6" fillId="0" borderId="0" xfId="0" applyFont="1" applyFill="1"/>
    <xf numFmtId="14" fontId="18" fillId="0" borderId="0" xfId="0" applyNumberFormat="1" applyFont="1" applyFill="1"/>
    <xf numFmtId="0" fontId="1" fillId="0" borderId="0" xfId="0" applyFont="1" applyFill="1" applyAlignment="1">
      <alignment horizontal="right"/>
    </xf>
    <xf numFmtId="164" fontId="1" fillId="0" borderId="0" xfId="0" applyNumberFormat="1" applyFont="1" applyFill="1" applyAlignment="1">
      <alignment horizontal="left"/>
    </xf>
    <xf numFmtId="165" fontId="1" fillId="0" borderId="0" xfId="0" applyNumberFormat="1" applyFont="1" applyFill="1" applyAlignment="1">
      <alignment horizontal="left"/>
    </xf>
    <xf numFmtId="166" fontId="1" fillId="0" borderId="0" xfId="0" applyNumberFormat="1" applyFont="1" applyFill="1" applyAlignment="1">
      <alignment horizontal="left"/>
    </xf>
    <xf numFmtId="14" fontId="1" fillId="0" borderId="0" xfId="0" applyNumberFormat="1" applyFont="1" applyFill="1"/>
    <xf numFmtId="0" fontId="18" fillId="0" borderId="0" xfId="0" applyFont="1"/>
    <xf numFmtId="0" fontId="6" fillId="0" borderId="0" xfId="0" applyFont="1"/>
    <xf numFmtId="14" fontId="6" fillId="4" borderId="0" xfId="0" applyNumberFormat="1" applyFont="1" applyFill="1"/>
    <xf numFmtId="14" fontId="7" fillId="0" borderId="0" xfId="0" applyNumberFormat="1" applyFont="1" applyFill="1"/>
    <xf numFmtId="0" fontId="24" fillId="2" borderId="0" xfId="0" applyFont="1" applyFill="1"/>
    <xf numFmtId="0" fontId="7" fillId="2" borderId="0" xfId="0" applyFont="1" applyFill="1"/>
    <xf numFmtId="0" fontId="24" fillId="2" borderId="0" xfId="0" applyFont="1" applyFill="1" applyAlignment="1">
      <alignment horizontal="right"/>
    </xf>
    <xf numFmtId="2" fontId="24" fillId="2" borderId="0" xfId="0" applyNumberFormat="1" applyFont="1" applyFill="1" applyAlignment="1">
      <alignment horizontal="left"/>
    </xf>
    <xf numFmtId="0" fontId="24" fillId="3" borderId="0" xfId="0" applyFont="1" applyFill="1"/>
    <xf numFmtId="0" fontId="7" fillId="3" borderId="0" xfId="0" applyFont="1" applyFill="1"/>
    <xf numFmtId="0" fontId="24" fillId="9" borderId="0" xfId="0" applyFont="1" applyFill="1"/>
    <xf numFmtId="2" fontId="24" fillId="9" borderId="0" xfId="0" applyNumberFormat="1" applyFont="1" applyFill="1"/>
    <xf numFmtId="0" fontId="24" fillId="23" borderId="0" xfId="0" applyFont="1" applyFill="1"/>
    <xf numFmtId="0" fontId="24" fillId="24" borderId="0" xfId="0" applyFont="1" applyFill="1"/>
    <xf numFmtId="0" fontId="24" fillId="0" borderId="0" xfId="0" applyFont="1" applyFill="1" applyAlignment="1">
      <alignment horizontal="right"/>
    </xf>
    <xf numFmtId="2" fontId="24" fillId="0" borderId="0" xfId="0" applyNumberFormat="1" applyFont="1" applyFill="1" applyAlignment="1">
      <alignment horizontal="left"/>
    </xf>
    <xf numFmtId="0" fontId="24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66" fontId="24" fillId="9" borderId="0" xfId="0" applyNumberFormat="1" applyFont="1" applyFill="1"/>
    <xf numFmtId="0" fontId="7" fillId="2" borderId="0" xfId="0" applyFont="1" applyFill="1" applyAlignment="1">
      <alignment horizontal="center"/>
    </xf>
    <xf numFmtId="0" fontId="7" fillId="9" borderId="0" xfId="0" applyFont="1" applyFill="1" applyAlignment="1">
      <alignment horizontal="right"/>
    </xf>
    <xf numFmtId="2" fontId="7" fillId="9" borderId="0" xfId="0" applyNumberFormat="1" applyFont="1" applyFill="1"/>
    <xf numFmtId="0" fontId="7" fillId="9" borderId="0" xfId="0" applyFont="1" applyFill="1"/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0" fontId="7" fillId="2" borderId="1" xfId="0" applyFont="1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right"/>
    </xf>
    <xf numFmtId="2" fontId="7" fillId="2" borderId="0" xfId="0" applyNumberFormat="1" applyFont="1" applyFill="1" applyAlignment="1">
      <alignment horizontal="left"/>
    </xf>
    <xf numFmtId="2" fontId="7" fillId="2" borderId="0" xfId="0" applyNumberFormat="1" applyFont="1" applyFill="1" applyAlignment="1">
      <alignment horizontal="left"/>
    </xf>
    <xf numFmtId="165" fontId="7" fillId="9" borderId="0" xfId="0" applyNumberFormat="1" applyFont="1" applyFill="1"/>
    <xf numFmtId="2" fontId="7" fillId="2" borderId="0" xfId="0" applyNumberFormat="1" applyFont="1" applyFill="1" applyAlignment="1"/>
    <xf numFmtId="0" fontId="7" fillId="2" borderId="0" xfId="0" applyFont="1" applyFill="1" applyAlignment="1"/>
    <xf numFmtId="2" fontId="7" fillId="0" borderId="0" xfId="0" applyNumberFormat="1" applyFont="1" applyFill="1" applyAlignment="1"/>
    <xf numFmtId="0" fontId="27" fillId="25" borderId="13" xfId="0" applyFont="1" applyFill="1" applyBorder="1" applyAlignment="1">
      <alignment horizontal="center" vertical="center" wrapText="1" readingOrder="1"/>
    </xf>
    <xf numFmtId="0" fontId="27" fillId="25" borderId="14" xfId="0" applyFont="1" applyFill="1" applyBorder="1" applyAlignment="1">
      <alignment horizontal="center" vertical="center" wrapText="1" readingOrder="1"/>
    </xf>
    <xf numFmtId="0" fontId="28" fillId="26" borderId="15" xfId="0" applyFont="1" applyFill="1" applyBorder="1" applyAlignment="1">
      <alignment horizontal="center" vertical="center" wrapText="1" readingOrder="1"/>
    </xf>
    <xf numFmtId="0" fontId="28" fillId="27" borderId="16" xfId="0" applyFont="1" applyFill="1" applyBorder="1" applyAlignment="1">
      <alignment horizontal="center" vertical="center" wrapText="1" readingOrder="1"/>
    </xf>
    <xf numFmtId="0" fontId="28" fillId="26" borderId="16" xfId="0" applyFont="1" applyFill="1" applyBorder="1" applyAlignment="1">
      <alignment horizontal="center" vertical="center" wrapText="1" readingOrder="1"/>
    </xf>
    <xf numFmtId="0" fontId="27" fillId="25" borderId="1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1" fillId="9" borderId="1" xfId="0" applyFont="1" applyFill="1" applyBorder="1" applyAlignment="1">
      <alignment horizontal="center"/>
    </xf>
    <xf numFmtId="0" fontId="12" fillId="13" borderId="0" xfId="0" applyFont="1" applyFill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1" fillId="10" borderId="2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/>
    </xf>
    <xf numFmtId="0" fontId="11" fillId="10" borderId="4" xfId="0" applyFont="1" applyFill="1" applyBorder="1" applyAlignment="1">
      <alignment horizontal="center"/>
    </xf>
    <xf numFmtId="0" fontId="11" fillId="4" borderId="2" xfId="0" applyFont="1" applyFill="1" applyBorder="1" applyAlignment="1">
      <alignment horizontal="center"/>
    </xf>
    <xf numFmtId="0" fontId="11" fillId="4" borderId="3" xfId="0" applyFont="1" applyFill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15" borderId="0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9" borderId="0" xfId="0" applyFont="1" applyFill="1" applyBorder="1" applyAlignment="1">
      <alignment horizontal="center"/>
    </xf>
    <xf numFmtId="0" fontId="11" fillId="9" borderId="5" xfId="0" applyFont="1" applyFill="1" applyBorder="1" applyAlignment="1">
      <alignment horizontal="center"/>
    </xf>
    <xf numFmtId="0" fontId="0" fillId="5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2" fillId="0" borderId="1" xfId="0" applyFont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6" fillId="13" borderId="0" xfId="0" applyFont="1" applyFill="1" applyAlignment="1">
      <alignment horizontal="center"/>
    </xf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2" fontId="7" fillId="15" borderId="2" xfId="0" applyNumberFormat="1" applyFont="1" applyFill="1" applyBorder="1" applyAlignment="1">
      <alignment horizontal="center"/>
    </xf>
    <xf numFmtId="2" fontId="7" fillId="15" borderId="3" xfId="0" applyNumberFormat="1" applyFont="1" applyFill="1" applyBorder="1" applyAlignment="1">
      <alignment horizontal="center"/>
    </xf>
    <xf numFmtId="2" fontId="7" fillId="15" borderId="4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2" fontId="7" fillId="15" borderId="1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16" fillId="4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4" fillId="0" borderId="1" xfId="0" applyFont="1" applyFill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Alignment="1">
      <alignment horizontal="right"/>
    </xf>
    <xf numFmtId="2" fontId="7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zoomScale="80" zoomScaleNormal="80" workbookViewId="0">
      <selection activeCell="G20" sqref="G20"/>
    </sheetView>
  </sheetViews>
  <sheetFormatPr baseColWidth="10" defaultColWidth="9.1640625" defaultRowHeight="15"/>
  <cols>
    <col min="1" max="1" width="10.5" style="1" bestFit="1" customWidth="1"/>
    <col min="2" max="16384" width="9.1640625" style="1"/>
  </cols>
  <sheetData>
    <row r="1" spans="1:21" ht="16">
      <c r="A1" s="7" t="s">
        <v>0</v>
      </c>
      <c r="B1" s="4" t="s">
        <v>1</v>
      </c>
      <c r="C1" s="4"/>
      <c r="D1" s="4"/>
      <c r="E1" s="8" t="s">
        <v>14</v>
      </c>
      <c r="H1" s="1" t="s">
        <v>33</v>
      </c>
    </row>
    <row r="2" spans="1:21" s="28" customFormat="1" ht="19">
      <c r="H2" s="32" t="s">
        <v>218</v>
      </c>
    </row>
    <row r="3" spans="1:21">
      <c r="A3" s="15">
        <v>45820</v>
      </c>
    </row>
    <row r="4" spans="1:21">
      <c r="B4" s="2"/>
      <c r="C4" s="5" t="s">
        <v>2</v>
      </c>
      <c r="D4" s="2"/>
      <c r="F4" s="2"/>
      <c r="G4" s="5" t="s">
        <v>5</v>
      </c>
      <c r="H4" s="2"/>
      <c r="J4" s="2"/>
      <c r="K4" s="5" t="s">
        <v>4</v>
      </c>
      <c r="L4" s="2"/>
      <c r="N4" s="2"/>
      <c r="O4" s="5" t="s">
        <v>6</v>
      </c>
      <c r="P4" s="2"/>
      <c r="R4" s="2"/>
      <c r="S4" s="5" t="s">
        <v>7</v>
      </c>
      <c r="T4" s="2"/>
    </row>
    <row r="5" spans="1:21">
      <c r="B5" s="1" t="s">
        <v>8</v>
      </c>
      <c r="F5" s="14" t="s">
        <v>27</v>
      </c>
      <c r="G5" s="13"/>
      <c r="H5" s="10"/>
      <c r="I5" s="10"/>
      <c r="J5" s="1" t="s">
        <v>25</v>
      </c>
      <c r="N5" s="14" t="s">
        <v>19</v>
      </c>
      <c r="O5" s="13"/>
      <c r="P5" s="10"/>
      <c r="Q5" s="10"/>
      <c r="R5" s="14" t="s">
        <v>34</v>
      </c>
      <c r="S5" s="13"/>
      <c r="T5" s="10"/>
      <c r="U5" s="10"/>
    </row>
    <row r="6" spans="1:21">
      <c r="B6" s="1" t="s">
        <v>9</v>
      </c>
      <c r="F6" s="14" t="s">
        <v>28</v>
      </c>
      <c r="G6" s="13"/>
      <c r="H6" s="10"/>
      <c r="I6" s="10"/>
      <c r="J6" s="1" t="s">
        <v>26</v>
      </c>
      <c r="N6" s="14" t="s">
        <v>20</v>
      </c>
      <c r="O6" s="13"/>
      <c r="P6" s="10"/>
      <c r="Q6" s="10"/>
      <c r="R6" s="14" t="s">
        <v>35</v>
      </c>
      <c r="S6" s="13"/>
      <c r="T6" s="10"/>
      <c r="U6" s="10"/>
    </row>
    <row r="8" spans="1:21">
      <c r="B8" s="1" t="s">
        <v>10</v>
      </c>
      <c r="F8" s="1" t="s">
        <v>29</v>
      </c>
      <c r="J8" s="1" t="s">
        <v>21</v>
      </c>
      <c r="N8" s="1" t="s">
        <v>15</v>
      </c>
      <c r="R8" s="1" t="s">
        <v>36</v>
      </c>
    </row>
    <row r="9" spans="1:21">
      <c r="B9" s="1" t="s">
        <v>11</v>
      </c>
      <c r="F9" s="1" t="s">
        <v>30</v>
      </c>
      <c r="J9" s="1" t="s">
        <v>22</v>
      </c>
      <c r="N9" s="1" t="s">
        <v>16</v>
      </c>
      <c r="R9" s="1" t="s">
        <v>37</v>
      </c>
    </row>
    <row r="11" spans="1:21">
      <c r="B11" s="1" t="s">
        <v>12</v>
      </c>
      <c r="F11" s="1" t="s">
        <v>31</v>
      </c>
      <c r="J11" s="1" t="s">
        <v>23</v>
      </c>
      <c r="N11" s="1" t="s">
        <v>17</v>
      </c>
      <c r="R11" s="1" t="s">
        <v>38</v>
      </c>
    </row>
    <row r="12" spans="1:21">
      <c r="B12" s="1" t="s">
        <v>13</v>
      </c>
      <c r="F12" s="1" t="s">
        <v>32</v>
      </c>
      <c r="J12" s="1" t="s">
        <v>24</v>
      </c>
      <c r="N12" s="1" t="s">
        <v>18</v>
      </c>
      <c r="R12" s="1" t="s">
        <v>37</v>
      </c>
    </row>
    <row r="14" spans="1:21">
      <c r="B14" s="3" t="s">
        <v>3</v>
      </c>
      <c r="C14" s="9">
        <f>AVERAGE(1.43,1.42,1.41)</f>
        <v>1.42</v>
      </c>
      <c r="D14" s="2"/>
      <c r="F14" s="3" t="s">
        <v>3</v>
      </c>
      <c r="G14" s="6">
        <f>AVERAGE(0.74,0.78,0.8)</f>
        <v>0.77333333333333343</v>
      </c>
      <c r="H14" s="2"/>
      <c r="J14" s="3" t="s">
        <v>3</v>
      </c>
      <c r="K14" s="6">
        <f>AVERAGE(0.9,0.86,0.82)</f>
        <v>0.86</v>
      </c>
      <c r="L14" s="2"/>
      <c r="N14" s="3" t="s">
        <v>3</v>
      </c>
      <c r="O14" s="6">
        <f>AVERAGE(0.89,0.86,0.91)</f>
        <v>0.88666666666666671</v>
      </c>
      <c r="P14" s="2"/>
      <c r="R14" s="3" t="s">
        <v>3</v>
      </c>
      <c r="S14" s="6">
        <f>AVERAGE(1.01,1,1)</f>
        <v>1.0033333333333332</v>
      </c>
      <c r="T14" s="2"/>
    </row>
    <row r="15" spans="1:21" s="10" customFormat="1">
      <c r="B15" s="11"/>
      <c r="C15" s="12"/>
      <c r="F15" s="11"/>
      <c r="G15" s="13"/>
      <c r="N15" s="11"/>
      <c r="O15" s="13"/>
      <c r="R15" s="11"/>
      <c r="S15" s="13"/>
    </row>
    <row r="16" spans="1:21" s="10" customFormat="1">
      <c r="B16" s="11"/>
      <c r="C16" s="12"/>
      <c r="J16" s="1"/>
      <c r="K16" s="1"/>
      <c r="L16" s="1"/>
      <c r="M16" s="1"/>
    </row>
    <row r="17" spans="2:13" s="10" customFormat="1">
      <c r="B17" s="11"/>
      <c r="C17" s="12"/>
      <c r="J17" s="1"/>
      <c r="L17" s="1"/>
      <c r="M17" s="1"/>
    </row>
    <row r="19" spans="2:13">
      <c r="B19" s="8" t="s">
        <v>159</v>
      </c>
      <c r="C19" s="8"/>
      <c r="D19" s="8"/>
      <c r="E19" s="8"/>
      <c r="F19" s="8"/>
    </row>
    <row r="28" spans="2:13">
      <c r="G28" s="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85"/>
  <sheetViews>
    <sheetView zoomScale="120" zoomScaleNormal="120" workbookViewId="0">
      <selection activeCell="A62" sqref="A62:Z87"/>
    </sheetView>
  </sheetViews>
  <sheetFormatPr baseColWidth="10" defaultColWidth="8.83203125" defaultRowHeight="15"/>
  <cols>
    <col min="1" max="1" width="36.5" bestFit="1" customWidth="1"/>
  </cols>
  <sheetData>
    <row r="1" spans="1:30" ht="16">
      <c r="A1" s="17" t="s">
        <v>0</v>
      </c>
      <c r="B1" s="4" t="s">
        <v>1</v>
      </c>
      <c r="C1" s="4"/>
      <c r="D1" s="4"/>
      <c r="F1" s="1" t="s">
        <v>33</v>
      </c>
    </row>
    <row r="2" spans="1:30" s="28" customFormat="1" ht="21">
      <c r="G2" s="31" t="s">
        <v>217</v>
      </c>
    </row>
    <row r="3" spans="1:30" ht="16">
      <c r="A3" s="15">
        <v>45826</v>
      </c>
      <c r="B3" s="16"/>
      <c r="C3" s="16"/>
      <c r="D3" s="16"/>
      <c r="E3" s="16"/>
      <c r="F3" s="16"/>
      <c r="G3" s="23">
        <f>AVERAGE(1.47,1.5,1.48)</f>
        <v>1.4833333333333332</v>
      </c>
      <c r="H3" s="16"/>
      <c r="I3" s="17" t="s">
        <v>39</v>
      </c>
      <c r="J3" s="16"/>
      <c r="K3" s="23">
        <f>AVERAGE(1.47,1.5,1.48)</f>
        <v>1.4833333333333332</v>
      </c>
      <c r="L3" s="16"/>
      <c r="M3" s="16"/>
      <c r="N3" s="16"/>
      <c r="O3" s="24">
        <f>AVERAGE(1.47,1.46,1.48)</f>
        <v>1.47</v>
      </c>
      <c r="P3" s="16"/>
      <c r="Q3" s="16"/>
      <c r="R3" s="16"/>
      <c r="S3" s="24">
        <f>AVERAGE(1.47,1.46,1.48)</f>
        <v>1.47</v>
      </c>
      <c r="T3" s="16"/>
      <c r="U3" s="19"/>
      <c r="V3" s="19"/>
      <c r="W3" s="24">
        <f>AVERAGE(1.47,1.46,1.48)</f>
        <v>1.47</v>
      </c>
      <c r="X3" s="19"/>
      <c r="AA3" t="s">
        <v>55</v>
      </c>
      <c r="AD3" t="s">
        <v>56</v>
      </c>
    </row>
    <row r="4" spans="1:30">
      <c r="B4" s="2"/>
      <c r="C4" s="5" t="s">
        <v>2</v>
      </c>
      <c r="D4" s="2"/>
      <c r="E4" s="1"/>
      <c r="F4" s="2"/>
      <c r="G4" s="5" t="s">
        <v>5</v>
      </c>
      <c r="H4" s="2"/>
      <c r="J4" s="2"/>
      <c r="K4" s="5" t="s">
        <v>4</v>
      </c>
      <c r="L4" s="2"/>
      <c r="N4" s="2"/>
      <c r="O4" s="5" t="s">
        <v>6</v>
      </c>
      <c r="P4" s="2"/>
      <c r="R4" s="2"/>
      <c r="S4" s="5" t="s">
        <v>48</v>
      </c>
      <c r="T4" s="2"/>
      <c r="V4" s="2"/>
      <c r="W4" s="5" t="s">
        <v>40</v>
      </c>
      <c r="X4" s="2"/>
      <c r="Z4" t="s">
        <v>49</v>
      </c>
      <c r="AD4" t="s">
        <v>57</v>
      </c>
    </row>
    <row r="5" spans="1:30">
      <c r="B5" s="1" t="s">
        <v>42</v>
      </c>
      <c r="C5" s="1"/>
      <c r="D5" s="1"/>
      <c r="E5" s="1"/>
      <c r="F5" s="1" t="s">
        <v>72</v>
      </c>
      <c r="G5" s="1"/>
      <c r="J5" t="s">
        <v>83</v>
      </c>
      <c r="N5" t="s">
        <v>95</v>
      </c>
      <c r="R5" s="1" t="s">
        <v>109</v>
      </c>
      <c r="S5" s="1"/>
      <c r="T5" s="1"/>
      <c r="V5" s="1" t="s">
        <v>103</v>
      </c>
      <c r="W5" s="1"/>
      <c r="X5" s="1"/>
      <c r="Z5" t="s">
        <v>50</v>
      </c>
      <c r="AD5" t="s">
        <v>50</v>
      </c>
    </row>
    <row r="6" spans="1:30">
      <c r="B6" s="1" t="s">
        <v>43</v>
      </c>
      <c r="C6" s="1"/>
      <c r="D6" s="1"/>
      <c r="E6" s="1"/>
      <c r="F6" s="1" t="s">
        <v>73</v>
      </c>
      <c r="G6" s="1"/>
      <c r="J6" t="s">
        <v>73</v>
      </c>
      <c r="N6" t="s">
        <v>96</v>
      </c>
      <c r="R6" s="1" t="s">
        <v>110</v>
      </c>
      <c r="S6" s="1"/>
      <c r="T6" s="1"/>
      <c r="V6" s="1" t="s">
        <v>116</v>
      </c>
      <c r="W6" s="1"/>
      <c r="X6" s="1"/>
    </row>
    <row r="7" spans="1:30">
      <c r="R7" s="1"/>
      <c r="S7" s="1"/>
      <c r="T7" s="1"/>
      <c r="V7" s="1"/>
      <c r="W7" s="1"/>
      <c r="X7" s="1"/>
      <c r="Z7" t="s">
        <v>51</v>
      </c>
      <c r="AD7" t="s">
        <v>58</v>
      </c>
    </row>
    <row r="8" spans="1:30">
      <c r="B8" s="1" t="s">
        <v>44</v>
      </c>
      <c r="C8" s="1"/>
      <c r="D8" s="1"/>
      <c r="E8" s="1"/>
      <c r="F8" s="1" t="s">
        <v>74</v>
      </c>
      <c r="G8" s="1"/>
      <c r="J8" t="s">
        <v>79</v>
      </c>
      <c r="N8" t="s">
        <v>97</v>
      </c>
      <c r="R8" s="1" t="s">
        <v>105</v>
      </c>
      <c r="S8" s="1"/>
      <c r="T8" s="1"/>
      <c r="V8" s="1" t="s">
        <v>117</v>
      </c>
      <c r="W8" s="1"/>
      <c r="X8" s="1"/>
      <c r="Z8" t="s">
        <v>52</v>
      </c>
      <c r="AD8" t="s">
        <v>59</v>
      </c>
    </row>
    <row r="9" spans="1:30">
      <c r="B9" s="1" t="s">
        <v>45</v>
      </c>
      <c r="C9" s="1"/>
      <c r="D9" s="1"/>
      <c r="E9" s="1"/>
      <c r="F9" s="1" t="s">
        <v>75</v>
      </c>
      <c r="G9" s="1"/>
      <c r="J9" t="s">
        <v>80</v>
      </c>
      <c r="N9" t="s">
        <v>98</v>
      </c>
      <c r="R9" s="1" t="s">
        <v>106</v>
      </c>
      <c r="S9" s="1"/>
      <c r="T9" s="1"/>
      <c r="V9" s="1" t="s">
        <v>118</v>
      </c>
      <c r="W9" s="1"/>
      <c r="X9" s="1"/>
    </row>
    <row r="10" spans="1:30">
      <c r="R10" s="1"/>
      <c r="S10" s="1"/>
      <c r="T10" s="1"/>
      <c r="V10" s="1"/>
      <c r="W10" s="1"/>
      <c r="X10" s="1"/>
      <c r="Z10" t="s">
        <v>53</v>
      </c>
      <c r="AD10" t="s">
        <v>60</v>
      </c>
    </row>
    <row r="11" spans="1:30">
      <c r="B11" s="1" t="s">
        <v>46</v>
      </c>
      <c r="C11" s="1"/>
      <c r="D11" s="1"/>
      <c r="E11" s="1"/>
      <c r="F11" s="1" t="s">
        <v>76</v>
      </c>
      <c r="G11" s="1"/>
      <c r="J11" t="s">
        <v>81</v>
      </c>
      <c r="N11" t="s">
        <v>99</v>
      </c>
      <c r="R11" s="1" t="s">
        <v>107</v>
      </c>
      <c r="S11" s="1"/>
      <c r="T11" s="1"/>
      <c r="V11" s="1" t="s">
        <v>76</v>
      </c>
      <c r="W11" s="1"/>
      <c r="X11" s="1"/>
      <c r="Z11" t="s">
        <v>54</v>
      </c>
      <c r="AD11" t="s">
        <v>54</v>
      </c>
    </row>
    <row r="12" spans="1:30">
      <c r="B12" s="1" t="s">
        <v>47</v>
      </c>
      <c r="C12" s="1"/>
      <c r="D12" s="1"/>
      <c r="E12" s="1"/>
      <c r="F12" s="1" t="s">
        <v>77</v>
      </c>
      <c r="G12" s="1"/>
      <c r="J12" t="s">
        <v>82</v>
      </c>
      <c r="N12" t="s">
        <v>96</v>
      </c>
      <c r="R12" s="1" t="s">
        <v>108</v>
      </c>
      <c r="S12" s="1"/>
      <c r="T12" s="1"/>
      <c r="V12" s="1" t="s">
        <v>116</v>
      </c>
      <c r="W12" s="1"/>
      <c r="X12" s="1"/>
    </row>
    <row r="13" spans="1:30">
      <c r="R13" s="1"/>
      <c r="S13" s="1"/>
      <c r="T13" s="1"/>
      <c r="V13" s="1"/>
      <c r="W13" s="1"/>
      <c r="X13" s="1"/>
    </row>
    <row r="14" spans="1:30">
      <c r="B14" s="3" t="s">
        <v>3</v>
      </c>
      <c r="C14" s="20">
        <f>AVERAGE(1.3,1.3,1.29)</f>
        <v>1.2966666666666666</v>
      </c>
      <c r="D14" s="2"/>
      <c r="E14" s="1"/>
      <c r="F14" s="3" t="s">
        <v>3</v>
      </c>
      <c r="G14" s="9">
        <f>AVERAGE(0.93,0.84,0.9)</f>
        <v>0.89</v>
      </c>
      <c r="H14" s="2"/>
      <c r="J14" s="3" t="s">
        <v>3</v>
      </c>
      <c r="K14" s="9">
        <f>AVERAGE(0.93,0.94,0.95)</f>
        <v>0.94000000000000006</v>
      </c>
      <c r="L14" s="2"/>
      <c r="N14" s="3" t="s">
        <v>3</v>
      </c>
      <c r="O14" s="9">
        <f>AVERAGE(1.26,1.28,1.26)</f>
        <v>1.2666666666666666</v>
      </c>
      <c r="P14" s="2"/>
      <c r="R14" s="3" t="s">
        <v>3</v>
      </c>
      <c r="S14" s="9">
        <f>AVERAGE(1.09,1.06,1.19)</f>
        <v>1.1133333333333335</v>
      </c>
      <c r="T14" s="2"/>
      <c r="V14" s="3" t="s">
        <v>3</v>
      </c>
      <c r="W14" s="6">
        <f>AVERAGE(0.74,0.76,0.74)</f>
        <v>0.7466666666666667</v>
      </c>
      <c r="X14" s="2"/>
      <c r="AA14" s="22">
        <f>AVERAGE(1.47,1.5,1.48)</f>
        <v>1.4833333333333332</v>
      </c>
      <c r="AD14" s="21">
        <f>AVERAGE(1.47,1.46,1.48)</f>
        <v>1.47</v>
      </c>
    </row>
    <row r="15" spans="1:30">
      <c r="C15">
        <f>_xlfn.STDEV.S(0.008,0.006,0.007)</f>
        <v>1E-3</v>
      </c>
    </row>
    <row r="16" spans="1:30" ht="16">
      <c r="B16" s="16"/>
      <c r="C16" s="16"/>
      <c r="D16" s="16"/>
      <c r="E16" s="16"/>
      <c r="F16" s="16"/>
      <c r="G16" s="17" t="s">
        <v>41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9"/>
      <c r="V16" s="19"/>
      <c r="W16" s="19"/>
      <c r="X16" s="19"/>
    </row>
    <row r="17" spans="6:24">
      <c r="F17" s="2"/>
      <c r="G17" s="5" t="s">
        <v>5</v>
      </c>
      <c r="H17" s="2"/>
      <c r="I17" s="1"/>
      <c r="J17" s="2"/>
      <c r="K17" s="5" t="s">
        <v>4</v>
      </c>
      <c r="L17" s="2"/>
      <c r="M17" s="1"/>
      <c r="N17" s="2"/>
      <c r="O17" s="5" t="s">
        <v>6</v>
      </c>
      <c r="P17" s="2"/>
      <c r="Q17" s="1"/>
      <c r="R17" s="2"/>
      <c r="S17" s="5" t="s">
        <v>7</v>
      </c>
      <c r="T17" s="2"/>
      <c r="V17" s="2"/>
      <c r="W17" s="5" t="s">
        <v>40</v>
      </c>
      <c r="X17" s="2"/>
    </row>
    <row r="18" spans="6:24"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V18" s="1"/>
      <c r="W18" s="1"/>
      <c r="X18" s="1"/>
    </row>
    <row r="19" spans="6:24"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V19" s="1"/>
      <c r="W19" s="1"/>
      <c r="X19" s="1"/>
    </row>
    <row r="20" spans="6:24"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1"/>
      <c r="W20" s="1"/>
      <c r="X20" s="1"/>
    </row>
    <row r="21" spans="6:24"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1"/>
      <c r="W21" s="1"/>
      <c r="X21" s="1"/>
    </row>
    <row r="22" spans="6:24"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V22" s="1"/>
      <c r="W22" s="1"/>
      <c r="X22" s="1"/>
    </row>
    <row r="23" spans="6:24"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1"/>
      <c r="W23" s="1"/>
      <c r="X23" s="1"/>
    </row>
    <row r="24" spans="6:24"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1"/>
      <c r="W24" s="1"/>
      <c r="X24" s="1"/>
    </row>
    <row r="25" spans="6:24"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1"/>
      <c r="W25" s="1"/>
      <c r="X25" s="1"/>
    </row>
    <row r="62" spans="6:24"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V62" s="1"/>
      <c r="W62" s="1"/>
      <c r="X62" s="1"/>
    </row>
    <row r="63" spans="6:24">
      <c r="F63" s="3" t="s">
        <v>3</v>
      </c>
      <c r="G63" s="6">
        <v>0.82333333333333325</v>
      </c>
      <c r="H63" s="2"/>
      <c r="I63" s="1"/>
      <c r="J63" s="3" t="s">
        <v>3</v>
      </c>
      <c r="K63" s="6">
        <v>0.82333333333333325</v>
      </c>
      <c r="L63" s="2"/>
      <c r="M63" s="1"/>
      <c r="N63" s="3" t="s">
        <v>3</v>
      </c>
      <c r="O63" s="6">
        <v>0.82333333333333325</v>
      </c>
      <c r="P63" s="2"/>
      <c r="Q63" s="1"/>
      <c r="R63" s="3" t="s">
        <v>3</v>
      </c>
      <c r="S63" s="6">
        <v>0.82333333333333325</v>
      </c>
      <c r="T63" s="2"/>
      <c r="V63" s="3" t="s">
        <v>3</v>
      </c>
      <c r="W63" s="6">
        <v>0.82333333333333325</v>
      </c>
      <c r="X63" s="2"/>
    </row>
    <row r="70" spans="1:20">
      <c r="B70" t="s">
        <v>61</v>
      </c>
    </row>
    <row r="71" spans="1:20" ht="16">
      <c r="B71" s="16"/>
      <c r="C71" s="20">
        <f>AVERAGE(1.3,1.3,1.29)</f>
        <v>1.2966666666666666</v>
      </c>
      <c r="D71" s="16"/>
      <c r="E71" s="17" t="s">
        <v>39</v>
      </c>
      <c r="F71" s="16"/>
      <c r="G71" s="20">
        <f>AVERAGE(1.3,1.3,1.29)</f>
        <v>1.2966666666666666</v>
      </c>
      <c r="H71" s="16"/>
      <c r="I71" s="16"/>
      <c r="J71" s="16"/>
      <c r="K71" s="20">
        <f>AVERAGE(1.3,1.3,1.29)</f>
        <v>1.2966666666666666</v>
      </c>
      <c r="L71" s="16"/>
      <c r="M71" s="16"/>
      <c r="N71" s="16"/>
      <c r="O71" s="22">
        <f>AVERAGE(1.47,1.5,1.48)</f>
        <v>1.4833333333333332</v>
      </c>
      <c r="P71" s="16"/>
      <c r="Q71" s="19"/>
      <c r="R71" s="19"/>
      <c r="S71" s="22">
        <f>AVERAGE(1.47,1.5,1.48)</f>
        <v>1.4833333333333332</v>
      </c>
      <c r="T71" s="19"/>
    </row>
    <row r="72" spans="1:20">
      <c r="B72" s="2"/>
      <c r="C72" s="5" t="s">
        <v>5</v>
      </c>
      <c r="D72" s="2"/>
      <c r="E72" s="1"/>
      <c r="F72" s="2"/>
      <c r="G72" s="5" t="s">
        <v>4</v>
      </c>
      <c r="H72" s="2"/>
      <c r="I72" s="1"/>
      <c r="J72" s="2"/>
      <c r="K72" s="5" t="s">
        <v>6</v>
      </c>
      <c r="L72" s="2"/>
      <c r="M72" s="1"/>
      <c r="N72" s="2"/>
      <c r="O72" s="5" t="s">
        <v>48</v>
      </c>
      <c r="P72" s="2"/>
      <c r="Q72" s="1"/>
      <c r="R72" s="2"/>
      <c r="S72" s="5" t="s">
        <v>40</v>
      </c>
      <c r="T72" s="2"/>
    </row>
    <row r="73" spans="1:20">
      <c r="B73" s="1" t="s">
        <v>62</v>
      </c>
      <c r="C73" s="1"/>
      <c r="D73" s="1"/>
      <c r="E73" s="1"/>
      <c r="F73" s="1" t="s">
        <v>84</v>
      </c>
      <c r="G73" s="1"/>
      <c r="H73" s="1"/>
      <c r="I73" s="1"/>
      <c r="J73" s="1" t="s">
        <v>90</v>
      </c>
      <c r="K73" s="1"/>
      <c r="L73" s="1"/>
      <c r="M73" s="1"/>
      <c r="N73" s="1" t="s">
        <v>103</v>
      </c>
      <c r="O73" s="1"/>
      <c r="P73" s="1"/>
      <c r="Q73" s="1"/>
      <c r="R73" s="1" t="s">
        <v>79</v>
      </c>
      <c r="S73" s="1"/>
      <c r="T73" s="1"/>
    </row>
    <row r="74" spans="1:20">
      <c r="A74" t="s">
        <v>68</v>
      </c>
      <c r="B74" s="1" t="s">
        <v>63</v>
      </c>
      <c r="C74" s="1"/>
      <c r="D74" s="1"/>
      <c r="E74" s="1"/>
      <c r="F74" s="1" t="s">
        <v>85</v>
      </c>
      <c r="G74" s="1"/>
      <c r="H74" s="1"/>
      <c r="I74" s="1"/>
      <c r="J74" s="1" t="s">
        <v>91</v>
      </c>
      <c r="K74" s="1"/>
      <c r="L74" s="1"/>
      <c r="M74" s="1"/>
      <c r="N74" s="1" t="s">
        <v>104</v>
      </c>
      <c r="O74" s="1"/>
      <c r="P74" s="1"/>
      <c r="Q74" s="1"/>
      <c r="R74" s="1" t="s">
        <v>111</v>
      </c>
      <c r="S74" s="1"/>
      <c r="T74" s="1"/>
    </row>
    <row r="75" spans="1:20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B76" s="1" t="s">
        <v>64</v>
      </c>
      <c r="C76" s="1"/>
      <c r="D76" s="1"/>
      <c r="E76" s="1"/>
      <c r="F76" s="1" t="s">
        <v>86</v>
      </c>
      <c r="G76" s="1"/>
      <c r="H76" s="1"/>
      <c r="I76" s="1"/>
      <c r="J76" s="1" t="s">
        <v>78</v>
      </c>
      <c r="K76" s="1"/>
      <c r="L76" s="1"/>
      <c r="M76" s="1"/>
      <c r="N76" s="1" t="s">
        <v>100</v>
      </c>
      <c r="O76" s="1"/>
      <c r="P76" s="1"/>
      <c r="Q76" s="1"/>
      <c r="R76" s="1" t="s">
        <v>112</v>
      </c>
      <c r="S76" s="1"/>
      <c r="T76" s="1"/>
    </row>
    <row r="77" spans="1:20">
      <c r="B77" s="1" t="s">
        <v>65</v>
      </c>
      <c r="C77" s="1"/>
      <c r="D77" s="1"/>
      <c r="E77" s="1"/>
      <c r="F77" s="1" t="s">
        <v>87</v>
      </c>
      <c r="G77" s="1"/>
      <c r="H77" s="1"/>
      <c r="I77" s="1"/>
      <c r="J77" s="1" t="s">
        <v>92</v>
      </c>
      <c r="K77" s="1"/>
      <c r="L77" s="1"/>
      <c r="M77" s="1"/>
      <c r="N77" s="1" t="s">
        <v>101</v>
      </c>
      <c r="O77" s="1"/>
      <c r="P77" s="1"/>
      <c r="Q77" s="1"/>
      <c r="R77" s="1" t="s">
        <v>113</v>
      </c>
      <c r="S77" s="1"/>
      <c r="T77" s="1"/>
    </row>
    <row r="78" spans="1:20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B79" s="1" t="s">
        <v>66</v>
      </c>
      <c r="C79" s="1"/>
      <c r="D79" s="1"/>
      <c r="E79" s="1"/>
      <c r="F79" s="1" t="s">
        <v>88</v>
      </c>
      <c r="G79" s="1"/>
      <c r="H79" s="1"/>
      <c r="I79" s="1"/>
      <c r="J79" s="1" t="s">
        <v>93</v>
      </c>
      <c r="K79" s="1"/>
      <c r="L79" s="1"/>
      <c r="M79" s="1"/>
      <c r="N79" s="1" t="s">
        <v>102</v>
      </c>
      <c r="O79" s="1"/>
      <c r="P79" s="1"/>
      <c r="Q79" s="1"/>
      <c r="R79" s="1" t="s">
        <v>114</v>
      </c>
      <c r="S79" s="1"/>
      <c r="T79" s="1"/>
    </row>
    <row r="80" spans="1:20">
      <c r="A80" t="s">
        <v>69</v>
      </c>
      <c r="B80" s="1" t="s">
        <v>67</v>
      </c>
      <c r="C80" s="1"/>
      <c r="D80" s="1"/>
      <c r="E80" s="1"/>
      <c r="F80" s="1" t="s">
        <v>89</v>
      </c>
      <c r="G80" s="1"/>
      <c r="H80" s="1"/>
      <c r="I80" s="1"/>
      <c r="J80" s="1" t="s">
        <v>94</v>
      </c>
      <c r="K80" s="1"/>
      <c r="L80" s="1"/>
      <c r="M80" s="1"/>
      <c r="N80" s="1" t="s">
        <v>101</v>
      </c>
      <c r="O80" s="1"/>
      <c r="P80" s="1"/>
      <c r="Q80" s="1"/>
      <c r="R80" s="1" t="s">
        <v>115</v>
      </c>
      <c r="S80" s="1"/>
      <c r="T80" s="1"/>
    </row>
    <row r="81" spans="2:20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2:20">
      <c r="B82" t="s">
        <v>70</v>
      </c>
      <c r="E82" s="1"/>
      <c r="F82" s="3" t="s">
        <v>3</v>
      </c>
      <c r="G82" s="9">
        <f>AVERAGE(0.99,1.03,1.04)</f>
        <v>1.02</v>
      </c>
      <c r="H82" s="2"/>
      <c r="I82" s="1"/>
      <c r="J82" s="3" t="s">
        <v>3</v>
      </c>
      <c r="K82" s="9">
        <f>AVERAGE(1.27,1.25,1.25)</f>
        <v>1.2566666666666666</v>
      </c>
      <c r="L82" s="2"/>
      <c r="M82" s="1"/>
      <c r="N82" s="3" t="s">
        <v>3</v>
      </c>
      <c r="O82" s="6">
        <f>AVERAGE(1.16,1.17,1.17)</f>
        <v>1.1666666666666667</v>
      </c>
      <c r="P82" s="2"/>
      <c r="Q82" s="1"/>
      <c r="R82" s="3" t="s">
        <v>3</v>
      </c>
      <c r="S82" s="6">
        <f>AVERAGE(0.72,0.77,0.8)</f>
        <v>0.76333333333333331</v>
      </c>
      <c r="T82" s="2"/>
    </row>
    <row r="83" spans="2:20">
      <c r="B83" t="s">
        <v>71</v>
      </c>
    </row>
    <row r="85" spans="2:20">
      <c r="B85" s="3" t="s">
        <v>3</v>
      </c>
      <c r="C85" s="9">
        <f>AVERAGE(0.96,1.03,0.92)</f>
        <v>0.97000000000000008</v>
      </c>
      <c r="D85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1"/>
  <sheetViews>
    <sheetView workbookViewId="0">
      <selection activeCell="A62" sqref="A62:AF101"/>
    </sheetView>
  </sheetViews>
  <sheetFormatPr baseColWidth="10" defaultColWidth="9.1640625" defaultRowHeight="15"/>
  <cols>
    <col min="1" max="1" width="9.6640625" style="1" bestFit="1" customWidth="1"/>
    <col min="2" max="4" width="9.1640625" style="1"/>
    <col min="5" max="5" width="9.6640625" style="1" bestFit="1" customWidth="1"/>
    <col min="6" max="16384" width="9.1640625" style="1"/>
  </cols>
  <sheetData>
    <row r="1" spans="1:28" ht="16">
      <c r="A1" s="7" t="s">
        <v>213</v>
      </c>
      <c r="B1" s="4" t="s">
        <v>1</v>
      </c>
      <c r="C1" s="4"/>
      <c r="D1" s="4"/>
      <c r="E1" s="15">
        <v>45827</v>
      </c>
      <c r="K1" s="1" t="s">
        <v>33</v>
      </c>
    </row>
    <row r="2" spans="1:28" s="30" customFormat="1" ht="16">
      <c r="A2" s="29" t="s">
        <v>214</v>
      </c>
      <c r="B2" s="27"/>
      <c r="C2" s="27"/>
      <c r="D2" s="27"/>
    </row>
    <row r="3" spans="1:28" s="30" customFormat="1" ht="17.25" customHeight="1">
      <c r="A3" s="30" t="s">
        <v>215</v>
      </c>
      <c r="Z3" s="30">
        <f>AVERAGE(1.52,1.53,1.54)</f>
        <v>1.53</v>
      </c>
    </row>
    <row r="4" spans="1:28" s="30" customFormat="1" ht="17.25" customHeight="1">
      <c r="A4" s="30" t="s">
        <v>216</v>
      </c>
    </row>
    <row r="5" spans="1:28" ht="16">
      <c r="B5" s="16"/>
      <c r="C5" s="16"/>
      <c r="D5" s="16"/>
      <c r="E5" s="16"/>
      <c r="F5" s="16"/>
      <c r="G5" s="16"/>
      <c r="H5" s="16"/>
      <c r="I5" s="17" t="s">
        <v>39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</row>
    <row r="6" spans="1:28">
      <c r="B6" s="2"/>
      <c r="C6" s="5" t="s">
        <v>2</v>
      </c>
      <c r="D6" s="2"/>
      <c r="F6" s="2"/>
      <c r="G6" s="5" t="s">
        <v>5</v>
      </c>
      <c r="H6" s="2"/>
      <c r="J6" s="2"/>
      <c r="K6" s="5" t="s">
        <v>4</v>
      </c>
      <c r="L6" s="2"/>
      <c r="N6" s="2"/>
      <c r="O6" s="5" t="s">
        <v>6</v>
      </c>
      <c r="P6" s="2"/>
      <c r="R6" s="2"/>
      <c r="S6" s="5" t="s">
        <v>7</v>
      </c>
      <c r="T6" s="2"/>
      <c r="V6" s="2"/>
      <c r="W6" s="5" t="s">
        <v>40</v>
      </c>
      <c r="X6" s="2" t="s">
        <v>201</v>
      </c>
      <c r="Z6" s="2"/>
      <c r="AA6" s="5" t="s">
        <v>169</v>
      </c>
      <c r="AB6" s="2" t="s">
        <v>201</v>
      </c>
    </row>
    <row r="7" spans="1:28">
      <c r="B7" s="1" t="s">
        <v>119</v>
      </c>
      <c r="F7" s="1" t="s">
        <v>125</v>
      </c>
      <c r="J7" s="1" t="s">
        <v>133</v>
      </c>
      <c r="N7" s="1" t="s">
        <v>135</v>
      </c>
      <c r="R7" s="1" t="s">
        <v>145</v>
      </c>
      <c r="V7" s="1" t="s">
        <v>150</v>
      </c>
      <c r="Z7" s="1" t="s">
        <v>195</v>
      </c>
    </row>
    <row r="8" spans="1:28">
      <c r="B8" s="1" t="s">
        <v>120</v>
      </c>
      <c r="F8" s="1" t="s">
        <v>126</v>
      </c>
      <c r="J8" s="1" t="s">
        <v>134</v>
      </c>
      <c r="N8" s="1" t="s">
        <v>136</v>
      </c>
      <c r="R8" s="1" t="s">
        <v>146</v>
      </c>
      <c r="V8" s="1" t="s">
        <v>151</v>
      </c>
      <c r="Z8" s="1" t="s">
        <v>196</v>
      </c>
    </row>
    <row r="10" spans="1:28">
      <c r="B10" s="1" t="s">
        <v>121</v>
      </c>
      <c r="F10" s="1" t="s">
        <v>127</v>
      </c>
      <c r="J10" s="1" t="s">
        <v>129</v>
      </c>
      <c r="N10" s="1" t="s">
        <v>137</v>
      </c>
      <c r="R10" s="1" t="s">
        <v>147</v>
      </c>
      <c r="V10" s="1" t="s">
        <v>152</v>
      </c>
      <c r="Z10" s="1" t="s">
        <v>197</v>
      </c>
    </row>
    <row r="11" spans="1:28">
      <c r="B11" s="1" t="s">
        <v>122</v>
      </c>
      <c r="F11" s="1" t="s">
        <v>85</v>
      </c>
      <c r="J11" s="1" t="s">
        <v>130</v>
      </c>
      <c r="N11" s="1" t="s">
        <v>138</v>
      </c>
      <c r="R11" s="1" t="s">
        <v>148</v>
      </c>
      <c r="V11" s="1" t="s">
        <v>151</v>
      </c>
      <c r="Z11" s="1" t="s">
        <v>198</v>
      </c>
    </row>
    <row r="13" spans="1:28">
      <c r="B13" s="1" t="s">
        <v>123</v>
      </c>
      <c r="F13" s="1" t="s">
        <v>128</v>
      </c>
      <c r="J13" s="1" t="s">
        <v>131</v>
      </c>
      <c r="N13" s="1" t="s">
        <v>139</v>
      </c>
      <c r="R13" s="1" t="s">
        <v>149</v>
      </c>
      <c r="V13" s="1" t="s">
        <v>153</v>
      </c>
      <c r="Z13" s="1" t="s">
        <v>199</v>
      </c>
    </row>
    <row r="14" spans="1:28">
      <c r="B14" s="1" t="s">
        <v>124</v>
      </c>
      <c r="F14" s="1" t="s">
        <v>63</v>
      </c>
      <c r="J14" s="1" t="s">
        <v>132</v>
      </c>
      <c r="N14" s="1" t="s">
        <v>140</v>
      </c>
      <c r="R14" s="1" t="s">
        <v>132</v>
      </c>
      <c r="V14" s="1" t="s">
        <v>154</v>
      </c>
      <c r="Z14" s="1" t="s">
        <v>116</v>
      </c>
    </row>
    <row r="15" spans="1:28">
      <c r="N15" s="1" t="s">
        <v>141</v>
      </c>
    </row>
    <row r="16" spans="1:28">
      <c r="N16" s="1" t="s">
        <v>142</v>
      </c>
      <c r="V16" s="1" t="s">
        <v>155</v>
      </c>
      <c r="Z16" s="1" t="s">
        <v>200</v>
      </c>
    </row>
    <row r="17" spans="2:28">
      <c r="N17" s="1" t="s">
        <v>143</v>
      </c>
      <c r="V17" s="1" t="s">
        <v>156</v>
      </c>
      <c r="Z17" s="1" t="s">
        <v>198</v>
      </c>
    </row>
    <row r="18" spans="2:28">
      <c r="N18" s="1" t="s">
        <v>144</v>
      </c>
    </row>
    <row r="20" spans="2:28">
      <c r="B20" s="3" t="s">
        <v>3</v>
      </c>
      <c r="C20" s="6">
        <f>AVERAGE(1.25,1.24,1.25)</f>
        <v>1.2466666666666668</v>
      </c>
      <c r="D20" s="2"/>
      <c r="F20" s="3" t="s">
        <v>3</v>
      </c>
      <c r="G20" s="6">
        <f>AVERAGE(0.98,0.99,0.96)</f>
        <v>0.97666666666666657</v>
      </c>
      <c r="H20" s="2"/>
      <c r="J20" s="3" t="s">
        <v>3</v>
      </c>
      <c r="K20" s="6">
        <f>AVERAGE(0.99,1.11,1.14)</f>
        <v>1.08</v>
      </c>
      <c r="L20" s="2"/>
      <c r="N20" s="3" t="s">
        <v>3</v>
      </c>
      <c r="O20" s="6">
        <f>AVERAGE(1.14,1.09,1.21)</f>
        <v>1.1466666666666667</v>
      </c>
      <c r="P20" s="2"/>
      <c r="R20" s="3" t="s">
        <v>3</v>
      </c>
      <c r="S20" s="6">
        <f>AVERAGE(1.15,1.14,1.11)</f>
        <v>1.1333333333333335</v>
      </c>
      <c r="T20" s="2"/>
      <c r="V20" s="3" t="s">
        <v>3</v>
      </c>
      <c r="W20" s="6">
        <f>AVERAGE(0.83,0.83,1.03,0.81)</f>
        <v>0.875</v>
      </c>
      <c r="X20" s="2"/>
      <c r="Z20" s="3" t="s">
        <v>3</v>
      </c>
      <c r="AA20" s="6">
        <f>AVERAGE(0.7,0.75,0.74,0.75)</f>
        <v>0.73499999999999999</v>
      </c>
      <c r="AB20" s="2"/>
    </row>
    <row r="62" spans="2:28" ht="16">
      <c r="B62" s="16"/>
      <c r="C62" s="16"/>
      <c r="D62" s="16"/>
      <c r="E62" s="16"/>
      <c r="F62" s="16"/>
      <c r="G62" s="17" t="s">
        <v>41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V62" s="16"/>
      <c r="W62" s="16"/>
      <c r="X62" s="16"/>
      <c r="Z62" s="16"/>
      <c r="AA62" s="16"/>
      <c r="AB62" s="16"/>
    </row>
    <row r="63" spans="2:28">
      <c r="F63" s="2"/>
      <c r="G63" s="5" t="s">
        <v>5</v>
      </c>
      <c r="H63" s="2"/>
      <c r="J63" s="2"/>
      <c r="K63" s="5" t="s">
        <v>4</v>
      </c>
      <c r="L63" s="2"/>
      <c r="N63" s="2"/>
      <c r="O63" s="5" t="s">
        <v>6</v>
      </c>
      <c r="P63" s="2"/>
      <c r="R63" s="2"/>
      <c r="S63" s="5" t="s">
        <v>7</v>
      </c>
      <c r="T63" s="2"/>
      <c r="V63" s="2"/>
      <c r="W63" s="5" t="s">
        <v>40</v>
      </c>
      <c r="X63" s="2"/>
      <c r="Z63" s="2"/>
      <c r="AA63" s="5" t="s">
        <v>169</v>
      </c>
      <c r="AB63" s="2"/>
    </row>
    <row r="64" spans="2:28">
      <c r="F64" s="1" t="s">
        <v>203</v>
      </c>
      <c r="N64" s="1" t="s">
        <v>209</v>
      </c>
      <c r="V64" s="1" t="s">
        <v>207</v>
      </c>
    </row>
    <row r="65" spans="6:28">
      <c r="F65" s="1" t="s">
        <v>156</v>
      </c>
      <c r="N65" s="1" t="s">
        <v>210</v>
      </c>
      <c r="V65" s="1" t="s">
        <v>208</v>
      </c>
    </row>
    <row r="67" spans="6:28">
      <c r="F67" s="1" t="s">
        <v>204</v>
      </c>
      <c r="N67" s="1" t="s">
        <v>211</v>
      </c>
    </row>
    <row r="68" spans="6:28">
      <c r="F68" s="1" t="s">
        <v>205</v>
      </c>
      <c r="N68" s="1" t="s">
        <v>212</v>
      </c>
    </row>
    <row r="70" spans="6:28">
      <c r="F70" s="1" t="s">
        <v>206</v>
      </c>
    </row>
    <row r="71" spans="6:28">
      <c r="F71" s="1" t="s">
        <v>24</v>
      </c>
    </row>
    <row r="73" spans="6:28">
      <c r="F73" s="3" t="s">
        <v>3</v>
      </c>
      <c r="G73" s="6">
        <f>AVERAGE(0.81,0.83,0.82)</f>
        <v>0.82</v>
      </c>
      <c r="H73" s="2"/>
      <c r="J73" s="3" t="s">
        <v>3</v>
      </c>
      <c r="K73" s="6"/>
      <c r="L73" s="2"/>
      <c r="N73" s="3" t="s">
        <v>3</v>
      </c>
      <c r="O73" s="6">
        <f>AVERAGE(1.06,0.93)</f>
        <v>0.99500000000000011</v>
      </c>
      <c r="P73" s="2"/>
      <c r="R73" s="3" t="s">
        <v>3</v>
      </c>
      <c r="S73" s="6"/>
      <c r="T73" s="2"/>
      <c r="V73" s="3" t="s">
        <v>3</v>
      </c>
      <c r="W73" s="6"/>
      <c r="X73" s="2"/>
      <c r="Z73" s="3" t="s">
        <v>3</v>
      </c>
      <c r="AA73" s="6">
        <v>0.82333333333333325</v>
      </c>
      <c r="AB73" s="2"/>
    </row>
    <row r="74" spans="6:28">
      <c r="F74" s="1" t="s">
        <v>184</v>
      </c>
      <c r="J74" s="1" t="s">
        <v>175</v>
      </c>
      <c r="N74" s="1" t="s">
        <v>165</v>
      </c>
    </row>
    <row r="75" spans="6:28">
      <c r="F75" s="1" t="s">
        <v>185</v>
      </c>
      <c r="J75" s="1" t="s">
        <v>176</v>
      </c>
      <c r="N75" s="1" t="s">
        <v>166</v>
      </c>
    </row>
    <row r="76" spans="6:28">
      <c r="N76" s="1" t="s">
        <v>160</v>
      </c>
      <c r="R76" s="8" t="s">
        <v>157</v>
      </c>
      <c r="S76" s="8"/>
      <c r="T76" s="8"/>
      <c r="V76" s="8" t="s">
        <v>157</v>
      </c>
      <c r="W76" s="8"/>
      <c r="X76" s="8"/>
    </row>
    <row r="77" spans="6:28">
      <c r="F77" s="1" t="s">
        <v>186</v>
      </c>
      <c r="J77" s="1" t="s">
        <v>15</v>
      </c>
      <c r="N77" s="1" t="s">
        <v>161</v>
      </c>
      <c r="R77" s="8" t="s">
        <v>158</v>
      </c>
      <c r="S77" s="8"/>
      <c r="T77" s="8"/>
      <c r="V77" s="8" t="s">
        <v>202</v>
      </c>
      <c r="W77" s="8"/>
      <c r="X77" s="26">
        <f>AVERAGE(0.82,0.83,0.84)</f>
        <v>0.83</v>
      </c>
    </row>
    <row r="78" spans="6:28">
      <c r="F78" s="1" t="s">
        <v>177</v>
      </c>
      <c r="J78" s="1" t="s">
        <v>177</v>
      </c>
    </row>
    <row r="79" spans="6:28">
      <c r="N79" s="1" t="s">
        <v>162</v>
      </c>
      <c r="R79" s="1" t="s">
        <v>170</v>
      </c>
    </row>
    <row r="80" spans="6:28">
      <c r="F80" s="1" t="s">
        <v>187</v>
      </c>
      <c r="J80" s="1" t="s">
        <v>178</v>
      </c>
      <c r="N80" s="1" t="s">
        <v>132</v>
      </c>
      <c r="R80" s="1" t="s">
        <v>154</v>
      </c>
    </row>
    <row r="81" spans="6:19">
      <c r="F81" s="1" t="s">
        <v>177</v>
      </c>
      <c r="J81" s="1" t="s">
        <v>179</v>
      </c>
    </row>
    <row r="82" spans="6:19">
      <c r="N82" s="1" t="s">
        <v>163</v>
      </c>
      <c r="R82" s="1" t="s">
        <v>171</v>
      </c>
    </row>
    <row r="83" spans="6:19">
      <c r="F83" s="1" t="s">
        <v>188</v>
      </c>
      <c r="J83" s="1" t="s">
        <v>180</v>
      </c>
      <c r="N83" s="1" t="s">
        <v>164</v>
      </c>
      <c r="R83" s="1" t="s">
        <v>172</v>
      </c>
    </row>
    <row r="84" spans="6:19">
      <c r="F84" s="1" t="s">
        <v>177</v>
      </c>
      <c r="J84" s="1" t="s">
        <v>181</v>
      </c>
    </row>
    <row r="85" spans="6:19">
      <c r="N85" s="1" t="s">
        <v>167</v>
      </c>
      <c r="R85" s="1" t="s">
        <v>173</v>
      </c>
    </row>
    <row r="86" spans="6:19">
      <c r="J86" s="1" t="s">
        <v>182</v>
      </c>
      <c r="N86" s="1" t="s">
        <v>168</v>
      </c>
      <c r="R86" s="1" t="s">
        <v>174</v>
      </c>
    </row>
    <row r="87" spans="6:19">
      <c r="J87" s="1" t="s">
        <v>183</v>
      </c>
    </row>
    <row r="90" spans="6:19">
      <c r="G90" s="25">
        <f>AVERAGE(0.91,0.92,0.92,0.92)</f>
        <v>0.91749999999999998</v>
      </c>
      <c r="K90" s="25">
        <f>AVERAGE(0.95,0.92,0.99,0.93)</f>
        <v>0.94750000000000012</v>
      </c>
      <c r="O90" s="25">
        <f>AVERAGE(1.1,1.14,1.09,1.18,1.17)</f>
        <v>1.1359999999999999</v>
      </c>
      <c r="S90" s="1">
        <f>AVERAGE(1.03,1.04,0.96)</f>
        <v>1.01</v>
      </c>
    </row>
    <row r="91" spans="6:19">
      <c r="S91" s="1">
        <f>AVERAGE(1.03,1.04,0.96,1.11,1.14,1.15)</f>
        <v>1.0716666666666665</v>
      </c>
    </row>
    <row r="92" spans="6:19">
      <c r="N92" s="1" t="s">
        <v>189</v>
      </c>
    </row>
    <row r="93" spans="6:19">
      <c r="N93" s="1" t="s">
        <v>190</v>
      </c>
    </row>
    <row r="95" spans="6:19">
      <c r="N95" s="1" t="s">
        <v>191</v>
      </c>
    </row>
    <row r="96" spans="6:19">
      <c r="N96" s="1" t="s">
        <v>192</v>
      </c>
    </row>
    <row r="98" spans="14:15">
      <c r="N98" s="1" t="s">
        <v>193</v>
      </c>
    </row>
    <row r="99" spans="14:15">
      <c r="N99" s="1" t="s">
        <v>194</v>
      </c>
    </row>
    <row r="101" spans="14:15">
      <c r="O101" s="25">
        <f>AVERAGE(1.02,1.05,1.12)</f>
        <v>1.0633333333333335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4"/>
  <sheetViews>
    <sheetView zoomScale="110" zoomScaleNormal="110" workbookViewId="0">
      <selection activeCell="D27" sqref="D27:M30"/>
    </sheetView>
  </sheetViews>
  <sheetFormatPr baseColWidth="10" defaultColWidth="9.1640625" defaultRowHeight="15"/>
  <cols>
    <col min="1" max="1" width="9.6640625" style="1" bestFit="1" customWidth="1"/>
    <col min="2" max="4" width="9.1640625" style="1"/>
    <col min="5" max="5" width="13.5" style="1" bestFit="1" customWidth="1"/>
    <col min="6" max="16384" width="9.1640625" style="1"/>
  </cols>
  <sheetData>
    <row r="1" spans="1:23" ht="16">
      <c r="A1" s="36" t="s">
        <v>213</v>
      </c>
      <c r="B1" s="4" t="s">
        <v>1</v>
      </c>
      <c r="C1" s="4"/>
      <c r="D1" s="4"/>
      <c r="E1" s="15">
        <v>45828</v>
      </c>
      <c r="G1" s="39" t="s">
        <v>274</v>
      </c>
      <c r="H1" s="39"/>
      <c r="I1" s="39"/>
    </row>
    <row r="3" spans="1:23">
      <c r="A3" s="10"/>
      <c r="B3" s="49" t="s">
        <v>219</v>
      </c>
      <c r="C3" s="50"/>
      <c r="D3" s="50"/>
      <c r="E3" s="50"/>
      <c r="F3" s="50"/>
      <c r="G3" s="50"/>
      <c r="H3" s="50"/>
      <c r="I3" s="10"/>
    </row>
    <row r="4" spans="1:23">
      <c r="A4" s="10"/>
      <c r="B4" s="40"/>
      <c r="C4" s="10"/>
      <c r="D4" s="10"/>
      <c r="F4" s="10"/>
      <c r="G4" s="40"/>
      <c r="H4" s="10"/>
      <c r="I4" s="10"/>
    </row>
    <row r="5" spans="1:23" ht="19">
      <c r="A5" s="16"/>
      <c r="B5" s="37">
        <f>AVERAGE(1.36,1.4,1.42,1.37)</f>
        <v>1.3875</v>
      </c>
      <c r="C5" s="16"/>
      <c r="D5" s="16"/>
      <c r="E5" s="37">
        <f>AVERAGE(1.36,1.4,1.42,1.37)</f>
        <v>1.3875</v>
      </c>
      <c r="F5" s="16"/>
      <c r="G5" s="33" t="s">
        <v>39</v>
      </c>
      <c r="H5" s="16"/>
      <c r="I5" s="16"/>
      <c r="J5" s="37">
        <f>AVERAGE(1.36,1.4,1.42,1.37)</f>
        <v>1.3875</v>
      </c>
      <c r="K5" s="16"/>
      <c r="L5" s="16"/>
      <c r="M5" s="16"/>
      <c r="N5" s="38">
        <f>AVERAGE(1.41,1.39,1.43,1.43)</f>
        <v>1.4149999999999998</v>
      </c>
      <c r="O5" s="16"/>
      <c r="P5" s="16"/>
      <c r="Q5" s="16"/>
      <c r="R5" s="38">
        <f>AVERAGE(1.41,1.39,1.43,1.43)</f>
        <v>1.4149999999999998</v>
      </c>
      <c r="S5" s="16"/>
      <c r="T5" s="16"/>
      <c r="U5" s="16"/>
      <c r="V5" s="38">
        <f>AVERAGE(1.41,1.39,1.43,1.43)</f>
        <v>1.4149999999999998</v>
      </c>
      <c r="W5" s="16"/>
    </row>
    <row r="6" spans="1:23">
      <c r="A6" s="2"/>
      <c r="B6" s="5" t="s">
        <v>6</v>
      </c>
      <c r="C6" s="2"/>
      <c r="E6" s="2"/>
      <c r="F6" s="5" t="s">
        <v>7</v>
      </c>
      <c r="G6" s="2"/>
      <c r="I6" s="2"/>
      <c r="J6" s="5" t="s">
        <v>40</v>
      </c>
      <c r="K6" s="2"/>
      <c r="M6" s="2"/>
      <c r="N6" s="5" t="s">
        <v>169</v>
      </c>
      <c r="O6" s="2"/>
      <c r="Q6" s="2"/>
      <c r="R6" s="5" t="s">
        <v>220</v>
      </c>
      <c r="S6" s="2"/>
      <c r="U6" s="2"/>
      <c r="V6" s="5" t="s">
        <v>221</v>
      </c>
      <c r="W6" s="2"/>
    </row>
    <row r="7" spans="1:23">
      <c r="A7" s="1" t="s">
        <v>225</v>
      </c>
      <c r="E7" s="1" t="s">
        <v>231</v>
      </c>
      <c r="I7" s="1" t="s">
        <v>238</v>
      </c>
      <c r="M7" s="1" t="s">
        <v>244</v>
      </c>
      <c r="Q7" s="1" t="s">
        <v>257</v>
      </c>
      <c r="U7" s="1" t="s">
        <v>265</v>
      </c>
    </row>
    <row r="8" spans="1:23">
      <c r="A8" s="1" t="s">
        <v>226</v>
      </c>
      <c r="E8" s="1" t="s">
        <v>232</v>
      </c>
      <c r="I8" s="1" t="s">
        <v>239</v>
      </c>
      <c r="M8" s="1" t="s">
        <v>245</v>
      </c>
      <c r="Q8" s="1" t="s">
        <v>111</v>
      </c>
      <c r="U8" s="1" t="s">
        <v>196</v>
      </c>
    </row>
    <row r="9" spans="1:23">
      <c r="E9" s="1" t="s">
        <v>233</v>
      </c>
      <c r="I9" s="1" t="s">
        <v>240</v>
      </c>
      <c r="M9" s="1" t="s">
        <v>246</v>
      </c>
      <c r="Q9" s="1" t="s">
        <v>258</v>
      </c>
      <c r="U9" s="1" t="s">
        <v>266</v>
      </c>
    </row>
    <row r="10" spans="1:23">
      <c r="A10" s="1" t="s">
        <v>227</v>
      </c>
      <c r="E10" s="1" t="s">
        <v>234</v>
      </c>
      <c r="I10" s="1" t="s">
        <v>241</v>
      </c>
      <c r="M10" s="1" t="s">
        <v>247</v>
      </c>
      <c r="Q10" s="1" t="s">
        <v>259</v>
      </c>
      <c r="U10" s="1" t="s">
        <v>267</v>
      </c>
    </row>
    <row r="11" spans="1:23">
      <c r="A11" s="1" t="s">
        <v>228</v>
      </c>
      <c r="E11" s="1" t="s">
        <v>235</v>
      </c>
      <c r="I11" s="1" t="s">
        <v>242</v>
      </c>
      <c r="M11" s="1" t="s">
        <v>248</v>
      </c>
      <c r="Q11" s="1" t="s">
        <v>260</v>
      </c>
      <c r="U11" s="1" t="s">
        <v>268</v>
      </c>
    </row>
    <row r="12" spans="1:23">
      <c r="E12" s="1" t="s">
        <v>236</v>
      </c>
      <c r="I12" s="1" t="s">
        <v>243</v>
      </c>
      <c r="M12" s="1" t="s">
        <v>249</v>
      </c>
      <c r="Q12" s="1" t="s">
        <v>261</v>
      </c>
      <c r="U12" s="1" t="s">
        <v>196</v>
      </c>
    </row>
    <row r="13" spans="1:23">
      <c r="A13" s="1" t="s">
        <v>229</v>
      </c>
      <c r="E13" s="1" t="s">
        <v>237</v>
      </c>
      <c r="I13" s="1" t="s">
        <v>244</v>
      </c>
      <c r="M13" s="1" t="s">
        <v>250</v>
      </c>
      <c r="Q13" s="1" t="s">
        <v>262</v>
      </c>
      <c r="U13" s="1" t="s">
        <v>269</v>
      </c>
    </row>
    <row r="14" spans="1:23">
      <c r="A14" s="1" t="s">
        <v>230</v>
      </c>
      <c r="E14" s="1" t="s">
        <v>236</v>
      </c>
      <c r="I14" s="1" t="s">
        <v>245</v>
      </c>
      <c r="M14" s="1" t="s">
        <v>251</v>
      </c>
      <c r="Q14" s="1" t="s">
        <v>245</v>
      </c>
      <c r="U14" s="1" t="s">
        <v>255</v>
      </c>
    </row>
    <row r="15" spans="1:23">
      <c r="M15" s="1" t="s">
        <v>252</v>
      </c>
      <c r="Q15" s="1" t="s">
        <v>263</v>
      </c>
      <c r="U15" s="1" t="s">
        <v>270</v>
      </c>
    </row>
    <row r="16" spans="1:23">
      <c r="M16" s="1" t="s">
        <v>253</v>
      </c>
      <c r="Q16" s="1" t="s">
        <v>236</v>
      </c>
      <c r="U16" s="1" t="s">
        <v>255</v>
      </c>
    </row>
    <row r="17" spans="1:34">
      <c r="M17" s="1" t="s">
        <v>254</v>
      </c>
      <c r="Q17" s="1" t="s">
        <v>84</v>
      </c>
    </row>
    <row r="18" spans="1:34">
      <c r="M18" s="1" t="s">
        <v>255</v>
      </c>
      <c r="Q18" s="1" t="s">
        <v>264</v>
      </c>
    </row>
    <row r="19" spans="1:34">
      <c r="M19" s="1" t="s">
        <v>256</v>
      </c>
    </row>
    <row r="20" spans="1:34">
      <c r="M20" s="1" t="s">
        <v>249</v>
      </c>
    </row>
    <row r="21" spans="1:34">
      <c r="A21" s="34" t="s">
        <v>3</v>
      </c>
      <c r="B21" s="35">
        <f>AVERAGE(0.82,0.85,0.81)</f>
        <v>0.82666666666666666</v>
      </c>
      <c r="C21" s="18"/>
      <c r="E21" s="34" t="s">
        <v>3</v>
      </c>
      <c r="F21" s="35">
        <f>AVERAGE(0.73,0.73,0.73)</f>
        <v>0.73</v>
      </c>
      <c r="G21" s="18"/>
      <c r="I21" s="34" t="s">
        <v>3</v>
      </c>
      <c r="J21" s="35">
        <f>AVERAGE(0.68,0.68,0.67,0.66)</f>
        <v>0.6725000000000001</v>
      </c>
      <c r="K21" s="18"/>
      <c r="M21" s="34" t="s">
        <v>3</v>
      </c>
      <c r="N21" s="35">
        <f>AVERAGE(0.66,0.71,0.76,0.68,0.7,0.71,0.75)</f>
        <v>0.71</v>
      </c>
      <c r="O21" s="18"/>
      <c r="Q21" s="34" t="s">
        <v>3</v>
      </c>
      <c r="R21" s="35">
        <f>AVERAGE(0.72,0.67,0.71,0.66,0.73,0.71)</f>
        <v>0.70000000000000007</v>
      </c>
      <c r="S21" s="18"/>
      <c r="U21" s="34" t="s">
        <v>3</v>
      </c>
      <c r="V21" s="35">
        <f>AVERAGE(0.7,0.69,0.7,0.7,0.7)</f>
        <v>0.69800000000000006</v>
      </c>
      <c r="W21" s="18"/>
      <c r="Y21" s="10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1:34">
      <c r="A22" s="10"/>
      <c r="B22" s="40"/>
      <c r="C22" s="10"/>
      <c r="D22" s="10"/>
      <c r="F22" s="10"/>
      <c r="G22" s="40"/>
      <c r="H22" s="10"/>
      <c r="I22" s="10"/>
      <c r="J22" s="10"/>
      <c r="K22" s="40"/>
      <c r="L22" s="10"/>
      <c r="M22" s="10"/>
      <c r="N22" s="10"/>
      <c r="O22" s="40"/>
      <c r="P22" s="10"/>
      <c r="Q22" s="10"/>
      <c r="R22" s="10"/>
      <c r="S22" s="40"/>
      <c r="T22" s="10"/>
      <c r="U22" s="10"/>
      <c r="V22" s="10"/>
      <c r="W22" s="40"/>
      <c r="X22" s="10"/>
      <c r="Y22" s="10"/>
      <c r="Z22" s="10"/>
      <c r="AA22" s="40"/>
      <c r="AB22" s="10"/>
      <c r="AC22" s="10"/>
      <c r="AD22" s="10"/>
      <c r="AE22" s="40"/>
      <c r="AF22" s="10"/>
      <c r="AG22" s="10"/>
      <c r="AH22" s="10"/>
    </row>
    <row r="23" spans="1:34">
      <c r="A23" s="10"/>
      <c r="B23" s="10"/>
      <c r="C23" s="10"/>
      <c r="D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</row>
    <row r="24" spans="1:34">
      <c r="A24" s="10"/>
      <c r="B24" s="10"/>
      <c r="C24" s="10"/>
      <c r="D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</row>
    <row r="25" spans="1:34">
      <c r="A25" s="10"/>
      <c r="B25" s="10"/>
      <c r="C25" s="10"/>
      <c r="D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</row>
    <row r="26" spans="1:34">
      <c r="A26" s="10"/>
      <c r="B26" s="10"/>
      <c r="C26" s="10"/>
      <c r="D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</row>
    <row r="27" spans="1:34">
      <c r="A27" s="10"/>
      <c r="B27" s="10"/>
      <c r="C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</row>
    <row r="28" spans="1:34">
      <c r="A28" s="10"/>
      <c r="B28" s="10"/>
      <c r="C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</row>
    <row r="29" spans="1:34">
      <c r="A29" s="10"/>
      <c r="B29" s="10"/>
      <c r="C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</row>
    <row r="30" spans="1:34">
      <c r="A30" s="10"/>
      <c r="B30" s="10"/>
      <c r="C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</row>
    <row r="31" spans="1:34">
      <c r="A31" s="10"/>
      <c r="B31" s="10"/>
      <c r="C31" s="10"/>
      <c r="D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</row>
    <row r="32" spans="1:34">
      <c r="A32" s="10"/>
      <c r="B32" s="10"/>
      <c r="C32" s="10"/>
      <c r="D32" s="10"/>
      <c r="F32" s="11"/>
      <c r="G32" s="13"/>
      <c r="H32" s="10"/>
      <c r="I32" s="10"/>
      <c r="J32" s="11"/>
      <c r="K32" s="13"/>
      <c r="L32" s="10"/>
      <c r="M32" s="10"/>
      <c r="N32" s="11"/>
      <c r="O32" s="13"/>
      <c r="P32" s="10"/>
      <c r="Q32" s="10"/>
      <c r="R32" s="11"/>
      <c r="S32" s="13"/>
      <c r="T32" s="10"/>
      <c r="U32" s="10"/>
      <c r="V32" s="11"/>
      <c r="W32" s="13"/>
      <c r="X32" s="10"/>
      <c r="Y32" s="10"/>
      <c r="Z32" s="11"/>
      <c r="AA32" s="13"/>
      <c r="AB32" s="10"/>
      <c r="AC32" s="10"/>
      <c r="AD32" s="11"/>
      <c r="AE32" s="13"/>
      <c r="AF32" s="10"/>
      <c r="AG32" s="10"/>
      <c r="AH32" s="10"/>
    </row>
    <row r="33" spans="1:34">
      <c r="A33" s="11"/>
      <c r="B33" s="41"/>
      <c r="C33" s="10"/>
      <c r="D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</row>
    <row r="34" spans="1:34"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6"/>
  <sheetViews>
    <sheetView topLeftCell="J1" zoomScale="80" zoomScaleNormal="80" workbookViewId="0">
      <selection activeCell="K1" sqref="K1:L1"/>
    </sheetView>
  </sheetViews>
  <sheetFormatPr baseColWidth="10" defaultColWidth="9.1640625" defaultRowHeight="15"/>
  <cols>
    <col min="1" max="1" width="9.6640625" style="1" bestFit="1" customWidth="1"/>
    <col min="2" max="4" width="9.1640625" style="1"/>
    <col min="5" max="5" width="13.5" style="1" bestFit="1" customWidth="1"/>
    <col min="6" max="16384" width="9.1640625" style="1"/>
  </cols>
  <sheetData>
    <row r="1" spans="1:23" ht="16">
      <c r="A1" s="36" t="s">
        <v>213</v>
      </c>
      <c r="B1" s="4" t="s">
        <v>1</v>
      </c>
      <c r="C1" s="4"/>
      <c r="D1" s="4"/>
      <c r="E1" s="15">
        <v>45828</v>
      </c>
      <c r="G1" s="39" t="s">
        <v>273</v>
      </c>
      <c r="H1" s="39"/>
      <c r="I1" s="39"/>
      <c r="K1" s="133" t="s">
        <v>762</v>
      </c>
      <c r="L1" s="133"/>
    </row>
    <row r="2" spans="1:23">
      <c r="C2" s="10"/>
      <c r="D2" s="10"/>
      <c r="E2" s="10"/>
      <c r="F2" s="10"/>
      <c r="G2" s="10"/>
      <c r="H2" s="10"/>
    </row>
    <row r="3" spans="1:23">
      <c r="A3" s="10"/>
      <c r="B3" s="45" t="s">
        <v>219</v>
      </c>
      <c r="C3" s="44"/>
      <c r="D3" s="44"/>
      <c r="E3" s="44"/>
      <c r="F3" s="44"/>
      <c r="G3" s="44"/>
    </row>
    <row r="4" spans="1:23">
      <c r="A4" s="10"/>
      <c r="B4" s="40"/>
      <c r="C4" s="10"/>
    </row>
    <row r="5" spans="1:23" ht="19">
      <c r="A5" s="16"/>
      <c r="B5" s="37">
        <f>AVERAGE(1.36,1.4,1.42,1.37)</f>
        <v>1.3875</v>
      </c>
      <c r="C5" s="16"/>
      <c r="D5" s="16"/>
      <c r="E5" s="37">
        <f>AVERAGE(1.36,1.4,1.42,1.37)</f>
        <v>1.3875</v>
      </c>
      <c r="F5" s="16"/>
      <c r="G5" s="33" t="s">
        <v>39</v>
      </c>
      <c r="H5" s="16"/>
      <c r="I5" s="16"/>
      <c r="J5" s="37">
        <f>AVERAGE(1.36,1.4,1.42,1.37)</f>
        <v>1.3875</v>
      </c>
      <c r="K5" s="16"/>
      <c r="L5" s="16"/>
      <c r="M5" s="16"/>
      <c r="N5" s="38">
        <f>AVERAGE(1.41,1.39,1.43,1.43)</f>
        <v>1.4149999999999998</v>
      </c>
      <c r="O5" s="16"/>
      <c r="P5" s="16"/>
      <c r="Q5" s="16"/>
      <c r="R5" s="38">
        <f>AVERAGE(1.41,1.39,1.43,1.43)</f>
        <v>1.4149999999999998</v>
      </c>
      <c r="S5" s="16"/>
      <c r="T5" s="16"/>
      <c r="U5" s="16"/>
      <c r="V5" s="38">
        <f>AVERAGE(1.41,1.39,1.43,1.43)</f>
        <v>1.4149999999999998</v>
      </c>
      <c r="W5" s="16"/>
    </row>
    <row r="6" spans="1:23">
      <c r="A6" s="2"/>
      <c r="B6" s="5" t="s">
        <v>6</v>
      </c>
      <c r="C6" s="2"/>
      <c r="E6" s="2"/>
      <c r="F6" s="5" t="s">
        <v>7</v>
      </c>
      <c r="G6" s="2"/>
      <c r="I6" s="2"/>
      <c r="J6" s="5" t="s">
        <v>40</v>
      </c>
      <c r="K6" s="2"/>
      <c r="M6" s="2"/>
      <c r="N6" s="5" t="s">
        <v>169</v>
      </c>
      <c r="O6" s="2"/>
      <c r="Q6" s="2"/>
      <c r="R6" s="5" t="s">
        <v>220</v>
      </c>
      <c r="S6" s="2"/>
      <c r="U6" s="2"/>
      <c r="V6" s="5" t="s">
        <v>221</v>
      </c>
      <c r="W6" s="2"/>
    </row>
    <row r="7" spans="1:23">
      <c r="A7" s="1" t="s">
        <v>271</v>
      </c>
      <c r="E7" s="1" t="s">
        <v>235</v>
      </c>
      <c r="I7" s="1" t="s">
        <v>281</v>
      </c>
      <c r="M7" s="1" t="s">
        <v>257</v>
      </c>
      <c r="Q7" s="1" t="s">
        <v>112</v>
      </c>
      <c r="U7" s="1" t="s">
        <v>296</v>
      </c>
    </row>
    <row r="8" spans="1:23">
      <c r="A8" s="1" t="s">
        <v>272</v>
      </c>
      <c r="E8" s="1" t="s">
        <v>243</v>
      </c>
      <c r="I8" s="1" t="s">
        <v>232</v>
      </c>
      <c r="M8" s="1" t="s">
        <v>234</v>
      </c>
      <c r="Q8" s="1" t="s">
        <v>243</v>
      </c>
      <c r="U8" s="1" t="s">
        <v>261</v>
      </c>
    </row>
    <row r="9" spans="1:23">
      <c r="A9" s="1" t="s">
        <v>275</v>
      </c>
      <c r="E9" s="1" t="s">
        <v>276</v>
      </c>
      <c r="I9" s="1" t="s">
        <v>282</v>
      </c>
      <c r="M9" s="1" t="s">
        <v>288</v>
      </c>
      <c r="Q9" s="1" t="s">
        <v>291</v>
      </c>
      <c r="U9" s="1" t="s">
        <v>297</v>
      </c>
    </row>
    <row r="10" spans="1:23">
      <c r="A10" s="1" t="s">
        <v>236</v>
      </c>
      <c r="E10" s="1" t="s">
        <v>111</v>
      </c>
      <c r="I10" s="1" t="s">
        <v>255</v>
      </c>
      <c r="M10" s="1" t="s">
        <v>249</v>
      </c>
      <c r="Q10" s="1" t="s">
        <v>267</v>
      </c>
      <c r="U10" s="1" t="s">
        <v>267</v>
      </c>
    </row>
    <row r="11" spans="1:23">
      <c r="A11" s="1" t="s">
        <v>193</v>
      </c>
      <c r="E11" s="1" t="s">
        <v>277</v>
      </c>
      <c r="I11" s="1" t="s">
        <v>283</v>
      </c>
      <c r="M11" s="1" t="s">
        <v>304</v>
      </c>
      <c r="Q11" s="1" t="s">
        <v>292</v>
      </c>
      <c r="U11" s="1" t="s">
        <v>298</v>
      </c>
    </row>
    <row r="12" spans="1:23">
      <c r="A12" s="1" t="s">
        <v>24</v>
      </c>
      <c r="E12" s="1" t="s">
        <v>255</v>
      </c>
      <c r="I12" s="1" t="s">
        <v>232</v>
      </c>
      <c r="M12" s="1" t="s">
        <v>261</v>
      </c>
      <c r="Q12" s="1" t="s">
        <v>243</v>
      </c>
      <c r="U12" s="1" t="s">
        <v>249</v>
      </c>
    </row>
    <row r="13" spans="1:23">
      <c r="A13" s="1" t="s">
        <v>199</v>
      </c>
      <c r="E13" s="1" t="s">
        <v>278</v>
      </c>
      <c r="I13" s="1" t="s">
        <v>284</v>
      </c>
      <c r="M13" s="1" t="s">
        <v>289</v>
      </c>
      <c r="Q13" s="1" t="s">
        <v>293</v>
      </c>
      <c r="U13" s="1" t="s">
        <v>299</v>
      </c>
    </row>
    <row r="14" spans="1:23">
      <c r="A14" s="1" t="s">
        <v>230</v>
      </c>
      <c r="E14" s="1" t="s">
        <v>279</v>
      </c>
      <c r="I14" s="1" t="s">
        <v>285</v>
      </c>
      <c r="M14" s="1" t="s">
        <v>236</v>
      </c>
      <c r="Q14" s="1" t="s">
        <v>261</v>
      </c>
      <c r="U14" s="1" t="s">
        <v>255</v>
      </c>
    </row>
    <row r="15" spans="1:23">
      <c r="E15" s="1" t="s">
        <v>280</v>
      </c>
      <c r="I15" s="1" t="s">
        <v>286</v>
      </c>
      <c r="M15" s="1" t="s">
        <v>290</v>
      </c>
      <c r="Q15" s="1" t="s">
        <v>287</v>
      </c>
      <c r="U15" s="1" t="s">
        <v>276</v>
      </c>
    </row>
    <row r="16" spans="1:23">
      <c r="E16" s="1" t="s">
        <v>111</v>
      </c>
      <c r="I16" s="1" t="s">
        <v>279</v>
      </c>
      <c r="M16" s="1" t="s">
        <v>116</v>
      </c>
      <c r="Q16" s="1" t="s">
        <v>236</v>
      </c>
      <c r="U16" s="1" t="s">
        <v>196</v>
      </c>
    </row>
    <row r="17" spans="1:32">
      <c r="I17" s="1" t="s">
        <v>287</v>
      </c>
      <c r="M17" s="1" t="s">
        <v>265</v>
      </c>
      <c r="Q17" s="1" t="s">
        <v>294</v>
      </c>
      <c r="U17" s="1" t="s">
        <v>300</v>
      </c>
    </row>
    <row r="18" spans="1:32">
      <c r="I18" s="1" t="s">
        <v>232</v>
      </c>
      <c r="M18" s="1" t="s">
        <v>116</v>
      </c>
      <c r="Q18" s="1" t="s">
        <v>249</v>
      </c>
      <c r="U18" s="1" t="s">
        <v>301</v>
      </c>
    </row>
    <row r="19" spans="1:32">
      <c r="M19" s="1" t="s">
        <v>302</v>
      </c>
      <c r="Q19" s="1" t="s">
        <v>295</v>
      </c>
    </row>
    <row r="20" spans="1:32">
      <c r="M20" s="1" t="s">
        <v>267</v>
      </c>
      <c r="Q20" s="1" t="s">
        <v>111</v>
      </c>
    </row>
    <row r="21" spans="1:32">
      <c r="M21" s="1" t="s">
        <v>303</v>
      </c>
    </row>
    <row r="22" spans="1:32">
      <c r="M22" s="14" t="s">
        <v>253</v>
      </c>
    </row>
    <row r="24" spans="1:32">
      <c r="A24" s="34" t="s">
        <v>3</v>
      </c>
      <c r="B24" s="35">
        <f>AVERAGE(0.82,0.77,0.73,0.81)</f>
        <v>0.78249999999999997</v>
      </c>
      <c r="C24" s="18"/>
      <c r="E24" s="34" t="s">
        <v>3</v>
      </c>
      <c r="F24" s="35">
        <f>AVERAGE(0.72,0.7,0.72,0.67,0.72)</f>
        <v>0.70599999999999985</v>
      </c>
      <c r="G24" s="18"/>
      <c r="I24" s="34" t="s">
        <v>3</v>
      </c>
      <c r="J24" s="35">
        <f>AVERAGE(0.69,0.7,0.69,0.73,0.72,0.69)</f>
        <v>0.70333333333333348</v>
      </c>
      <c r="K24" s="18"/>
      <c r="M24" s="34" t="s">
        <v>305</v>
      </c>
      <c r="N24" s="35">
        <f>AVERAGE(0.73,0.71,0.71,0.73,0.74,0.74,0.69)</f>
        <v>0.72142857142857153</v>
      </c>
      <c r="O24" s="18"/>
      <c r="Q24" s="34" t="s">
        <v>3</v>
      </c>
      <c r="R24" s="35">
        <f>AVERAGE(0.67,0.69,0.67,0.71,0.73,0.71,0.72)</f>
        <v>0.7</v>
      </c>
      <c r="S24" s="18"/>
      <c r="U24" s="34" t="s">
        <v>3</v>
      </c>
      <c r="V24" s="35">
        <f>AVERAGE(0.71,0.69,0.71,0.7,0.7,0.74)</f>
        <v>0.70833333333333337</v>
      </c>
      <c r="W24" s="18"/>
      <c r="AD24" s="10"/>
      <c r="AE24" s="10"/>
      <c r="AF24" s="10"/>
    </row>
    <row r="25" spans="1:32">
      <c r="A25" s="10"/>
      <c r="B25" s="40"/>
      <c r="C25" s="10"/>
      <c r="D25" s="10"/>
      <c r="E25" s="10"/>
      <c r="F25" s="10"/>
      <c r="G25" s="40"/>
      <c r="H25" s="10"/>
      <c r="I25" s="10"/>
      <c r="J25" s="10"/>
      <c r="K25" s="40"/>
      <c r="L25" s="10"/>
      <c r="M25" s="10"/>
      <c r="N25" s="10"/>
      <c r="O25" s="40"/>
      <c r="P25" s="10"/>
      <c r="Q25" s="10"/>
      <c r="R25" s="10"/>
      <c r="S25" s="40"/>
      <c r="T25" s="10"/>
      <c r="U25" s="10"/>
      <c r="V25" s="10"/>
      <c r="W25" s="40"/>
      <c r="X25" s="10"/>
      <c r="Y25" s="10"/>
      <c r="Z25" s="10"/>
      <c r="AA25" s="40"/>
      <c r="AB25" s="10"/>
      <c r="AC25" s="10"/>
      <c r="AD25" s="10"/>
      <c r="AE25" s="40"/>
      <c r="AF25" s="10"/>
    </row>
    <row r="26" spans="1:3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spans="1:32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spans="1:32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spans="1:32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spans="1:32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spans="1:32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spans="1:32">
      <c r="A32" s="10"/>
      <c r="B32" s="10"/>
      <c r="C32" s="10"/>
      <c r="D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spans="1:32">
      <c r="A33" s="10"/>
      <c r="B33" s="10"/>
      <c r="C33" s="10"/>
      <c r="D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spans="1:32">
      <c r="A34" s="10"/>
      <c r="B34" s="10"/>
      <c r="C34" s="10"/>
      <c r="D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spans="1:32">
      <c r="A35" s="10"/>
      <c r="B35" s="10"/>
      <c r="C35" s="10"/>
      <c r="D35" s="10"/>
      <c r="M35" s="10"/>
      <c r="N35" s="11"/>
      <c r="O35" s="13"/>
      <c r="P35" s="10"/>
      <c r="Q35" s="10"/>
      <c r="R35" s="11"/>
      <c r="S35" s="13"/>
      <c r="T35" s="10"/>
      <c r="U35" s="10"/>
      <c r="V35" s="11"/>
      <c r="W35" s="13"/>
      <c r="X35" s="10"/>
      <c r="Y35" s="10"/>
      <c r="Z35" s="11"/>
      <c r="AA35" s="13"/>
      <c r="AB35" s="10"/>
      <c r="AC35" s="10"/>
      <c r="AD35" s="11"/>
      <c r="AE35" s="13"/>
      <c r="AF35" s="10"/>
    </row>
    <row r="36" spans="1:32">
      <c r="A36" s="11"/>
      <c r="B36" s="41"/>
      <c r="C36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31"/>
  <sheetViews>
    <sheetView topLeftCell="E1" zoomScale="80" zoomScaleNormal="80" workbookViewId="0">
      <selection activeCell="F16" sqref="F16"/>
    </sheetView>
  </sheetViews>
  <sheetFormatPr baseColWidth="10" defaultColWidth="9.1640625" defaultRowHeight="15"/>
  <cols>
    <col min="1" max="1" width="9.6640625" style="1" bestFit="1" customWidth="1"/>
    <col min="2" max="4" width="9.1640625" style="1"/>
    <col min="5" max="5" width="13.5" style="1" bestFit="1" customWidth="1"/>
    <col min="6" max="16384" width="9.1640625" style="1"/>
  </cols>
  <sheetData>
    <row r="1" spans="1:33" ht="16">
      <c r="A1" s="36" t="s">
        <v>213</v>
      </c>
      <c r="B1" s="4" t="s">
        <v>1</v>
      </c>
      <c r="C1" s="4"/>
      <c r="D1" s="4"/>
      <c r="E1" s="15">
        <v>45828</v>
      </c>
      <c r="G1" s="39" t="s">
        <v>399</v>
      </c>
      <c r="H1" s="39"/>
      <c r="I1" s="39"/>
      <c r="K1" s="251" t="s">
        <v>471</v>
      </c>
      <c r="L1" s="251"/>
      <c r="M1" s="251"/>
      <c r="N1" s="251"/>
      <c r="P1" s="133" t="s">
        <v>762</v>
      </c>
      <c r="Q1" s="133"/>
    </row>
    <row r="2" spans="1:33">
      <c r="B2" s="48" t="s">
        <v>417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33">
      <c r="A3" s="10"/>
      <c r="B3" s="10"/>
      <c r="C3" s="10"/>
      <c r="D3" s="10"/>
      <c r="E3" s="10"/>
      <c r="F3" s="10"/>
      <c r="G3" s="10"/>
      <c r="H3" s="10"/>
      <c r="I3" s="10"/>
    </row>
    <row r="4" spans="1:33" ht="19">
      <c r="A4" s="16"/>
      <c r="B4" s="37">
        <f>AVERAGE(1.36,1.4,1.42,1.37)</f>
        <v>1.3875</v>
      </c>
      <c r="C4" s="16"/>
      <c r="D4" s="16"/>
      <c r="E4" s="37">
        <f>AVERAGE(1.36,1.4,1.42,1.37)</f>
        <v>1.3875</v>
      </c>
      <c r="F4" s="16"/>
      <c r="G4" s="33" t="s">
        <v>39</v>
      </c>
      <c r="H4" s="16"/>
      <c r="I4" s="16"/>
      <c r="J4" s="37">
        <f>AVERAGE(1.36,1.4,1.42,1.37)</f>
        <v>1.3875</v>
      </c>
      <c r="K4" s="16"/>
      <c r="L4" s="16"/>
      <c r="M4" s="16"/>
      <c r="N4" s="38">
        <f>AVERAGE(1.41,1.39,1.43,1.43)</f>
        <v>1.4149999999999998</v>
      </c>
      <c r="O4" s="16"/>
      <c r="P4" s="16"/>
      <c r="Q4" s="16"/>
      <c r="R4" s="38">
        <f>AVERAGE(1.41,1.39,1.43,1.43)</f>
        <v>1.4149999999999998</v>
      </c>
      <c r="S4" s="16"/>
      <c r="T4" s="16"/>
      <c r="U4" s="16"/>
      <c r="V4" s="38">
        <f>AVERAGE(1.41,1.39,1.43,1.43)</f>
        <v>1.4149999999999998</v>
      </c>
      <c r="W4" s="16"/>
    </row>
    <row r="5" spans="1:33">
      <c r="A5" s="2"/>
      <c r="B5" s="5" t="s">
        <v>6</v>
      </c>
      <c r="C5" s="2"/>
      <c r="E5" s="2"/>
      <c r="F5" s="5" t="s">
        <v>7</v>
      </c>
      <c r="G5" s="2"/>
      <c r="I5" s="2"/>
      <c r="J5" s="5" t="s">
        <v>40</v>
      </c>
      <c r="K5" s="2"/>
      <c r="M5" s="2"/>
      <c r="N5" s="5" t="s">
        <v>169</v>
      </c>
      <c r="O5" s="2"/>
      <c r="Q5" s="2"/>
      <c r="R5" s="5" t="s">
        <v>220</v>
      </c>
      <c r="S5" s="2"/>
      <c r="U5" s="2"/>
      <c r="V5" s="5" t="s">
        <v>221</v>
      </c>
      <c r="W5" s="2"/>
    </row>
    <row r="6" spans="1:33">
      <c r="A6" s="1" t="s">
        <v>343</v>
      </c>
      <c r="E6" s="1" t="s">
        <v>240</v>
      </c>
      <c r="I6" s="1" t="s">
        <v>411</v>
      </c>
      <c r="M6" s="1" t="s">
        <v>408</v>
      </c>
      <c r="Q6" s="1" t="s">
        <v>405</v>
      </c>
      <c r="U6" s="1" t="s">
        <v>400</v>
      </c>
    </row>
    <row r="7" spans="1:33">
      <c r="A7" s="1" t="s">
        <v>75</v>
      </c>
      <c r="E7" s="1" t="s">
        <v>338</v>
      </c>
      <c r="I7" s="1" t="s">
        <v>156</v>
      </c>
      <c r="M7" s="1" t="s">
        <v>118</v>
      </c>
      <c r="Q7" s="1" t="s">
        <v>113</v>
      </c>
      <c r="U7" s="1" t="s">
        <v>401</v>
      </c>
    </row>
    <row r="8" spans="1:33">
      <c r="A8" s="1" t="s">
        <v>418</v>
      </c>
      <c r="I8" s="1" t="s">
        <v>412</v>
      </c>
      <c r="M8" s="1" t="s">
        <v>409</v>
      </c>
      <c r="Q8" s="1" t="s">
        <v>406</v>
      </c>
      <c r="U8" s="1" t="s">
        <v>402</v>
      </c>
    </row>
    <row r="9" spans="1:33">
      <c r="A9" s="1" t="s">
        <v>232</v>
      </c>
      <c r="E9" s="1" t="s">
        <v>387</v>
      </c>
      <c r="I9" s="1" t="s">
        <v>413</v>
      </c>
      <c r="M9" s="1" t="s">
        <v>75</v>
      </c>
      <c r="Q9" s="1" t="s">
        <v>407</v>
      </c>
      <c r="U9" s="1" t="s">
        <v>113</v>
      </c>
    </row>
    <row r="10" spans="1:33">
      <c r="A10" s="1" t="s">
        <v>355</v>
      </c>
      <c r="E10" s="1" t="s">
        <v>416</v>
      </c>
      <c r="M10" s="1" t="s">
        <v>410</v>
      </c>
      <c r="Q10" s="1" t="s">
        <v>112</v>
      </c>
      <c r="U10" s="1" t="s">
        <v>403</v>
      </c>
    </row>
    <row r="11" spans="1:33">
      <c r="A11" s="1" t="s">
        <v>71</v>
      </c>
      <c r="I11" s="1" t="s">
        <v>414</v>
      </c>
      <c r="M11" s="1" t="s">
        <v>272</v>
      </c>
      <c r="Q11" s="1" t="s">
        <v>407</v>
      </c>
      <c r="U11" s="1" t="s">
        <v>404</v>
      </c>
    </row>
    <row r="12" spans="1:33">
      <c r="A12" s="1" t="s">
        <v>419</v>
      </c>
      <c r="E12" s="1" t="s">
        <v>387</v>
      </c>
      <c r="I12" s="1" t="s">
        <v>415</v>
      </c>
    </row>
    <row r="13" spans="1:33">
      <c r="A13" s="1" t="s">
        <v>420</v>
      </c>
      <c r="E13" s="1" t="s">
        <v>24</v>
      </c>
    </row>
    <row r="15" spans="1:33">
      <c r="A15" s="34" t="s">
        <v>3</v>
      </c>
      <c r="B15" s="35">
        <f>AVERAGE(0.84,0.69,0.92,0.97)</f>
        <v>0.85499999999999998</v>
      </c>
      <c r="C15" s="18"/>
      <c r="E15" s="34" t="s">
        <v>3</v>
      </c>
      <c r="F15" s="35">
        <f>AVERAGE(0.82,0.76,0.78)</f>
        <v>0.78666666666666674</v>
      </c>
      <c r="G15" s="18"/>
      <c r="I15" s="34" t="s">
        <v>3</v>
      </c>
      <c r="J15" s="35">
        <f>AVERAGE(0.75,0.79,0.81)</f>
        <v>0.78333333333333333</v>
      </c>
      <c r="K15" s="18"/>
      <c r="M15" s="34" t="s">
        <v>305</v>
      </c>
      <c r="N15" s="35">
        <f>AVERAGE(0.77,0.84,0.76)</f>
        <v>0.79</v>
      </c>
      <c r="O15" s="18"/>
      <c r="Q15" s="34" t="s">
        <v>3</v>
      </c>
      <c r="R15" s="35">
        <f>AVERAGE(0.79,0.79,0.77)</f>
        <v>0.78333333333333333</v>
      </c>
      <c r="S15" s="18"/>
      <c r="U15" s="34" t="s">
        <v>3</v>
      </c>
      <c r="V15" s="35">
        <f>AVERAGE(0.81,0.77,0.79)</f>
        <v>0.79</v>
      </c>
      <c r="W15" s="18"/>
    </row>
    <row r="16" spans="1:33" ht="19">
      <c r="A16" s="10" t="s">
        <v>993</v>
      </c>
      <c r="B16" s="10">
        <f>_xlfn.STDEV.S(0.007,0.007,0.007,0.006)</f>
        <v>5.0000000000000001E-4</v>
      </c>
      <c r="C16" s="10"/>
      <c r="D16" s="10"/>
      <c r="E16" s="10" t="s">
        <v>993</v>
      </c>
      <c r="F16" s="10">
        <f>_xlfn.STDEV.S(0.007,0.008,0.008)</f>
        <v>5.773502691896258E-4</v>
      </c>
      <c r="G16" s="10"/>
      <c r="H16" s="10"/>
      <c r="I16" s="10"/>
      <c r="J16" s="10"/>
      <c r="K16" s="10"/>
      <c r="L16" s="10"/>
      <c r="M16" s="10" t="s">
        <v>993</v>
      </c>
      <c r="N16" s="10">
        <f>_xlfn.STDEV.S(0.007,0.006,0.006)</f>
        <v>5.773502691896258E-4</v>
      </c>
      <c r="O16" s="10"/>
      <c r="P16" s="46"/>
      <c r="Q16" s="10" t="s">
        <v>993</v>
      </c>
      <c r="R16" s="10">
        <f>_xlfn.STDEV.S(0.007,0.007,0.007)</f>
        <v>0</v>
      </c>
      <c r="S16" s="10"/>
      <c r="T16" s="10"/>
      <c r="U16" s="40" t="s">
        <v>993</v>
      </c>
      <c r="V16" s="40">
        <f>_xlfn.STDEV.S(0.007,0.007,0.006)</f>
        <v>5.773502691896258E-4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</row>
    <row r="17" spans="1:33">
      <c r="A17" s="10"/>
      <c r="B17" s="40"/>
      <c r="C17" s="10"/>
      <c r="D17" s="10"/>
      <c r="E17" s="10"/>
      <c r="F17" s="10"/>
      <c r="G17" s="40"/>
      <c r="H17" s="10"/>
      <c r="I17" s="10"/>
      <c r="J17" s="10"/>
      <c r="K17" s="40"/>
      <c r="L17" s="10"/>
      <c r="M17" s="10"/>
      <c r="N17" s="10"/>
      <c r="O17" s="40"/>
      <c r="P17" s="10"/>
      <c r="Q17" s="10"/>
      <c r="R17" s="10"/>
      <c r="S17" s="40"/>
      <c r="T17" s="10"/>
      <c r="U17" s="10"/>
      <c r="V17" s="10"/>
      <c r="W17" s="40"/>
      <c r="X17" s="10"/>
      <c r="Y17" s="10"/>
      <c r="Z17" s="10"/>
      <c r="AA17" s="40"/>
      <c r="AB17" s="10"/>
      <c r="AC17" s="10"/>
      <c r="AD17" s="10"/>
      <c r="AE17" s="40"/>
      <c r="AF17" s="10"/>
      <c r="AG17" s="10"/>
    </row>
    <row r="18" spans="1:3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</row>
    <row r="19" spans="1:3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6">
      <c r="A21" s="10"/>
      <c r="B21" s="10"/>
      <c r="C21" s="10"/>
      <c r="D21" s="250" t="s">
        <v>425</v>
      </c>
      <c r="E21" s="250"/>
      <c r="F21" s="55" t="s">
        <v>6</v>
      </c>
      <c r="G21" s="55" t="s">
        <v>7</v>
      </c>
      <c r="H21" s="55" t="s">
        <v>40</v>
      </c>
      <c r="I21" s="55" t="s">
        <v>169</v>
      </c>
      <c r="J21" s="55" t="s">
        <v>220</v>
      </c>
      <c r="K21" s="55" t="s">
        <v>424</v>
      </c>
      <c r="L21" s="250" t="s">
        <v>429</v>
      </c>
      <c r="M21" s="25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6">
      <c r="A22" s="10"/>
      <c r="B22" s="10"/>
      <c r="C22" s="10"/>
      <c r="D22" s="250" t="s">
        <v>422</v>
      </c>
      <c r="E22" s="250"/>
      <c r="F22" s="52">
        <v>0.83</v>
      </c>
      <c r="G22" s="52">
        <v>0.73</v>
      </c>
      <c r="H22" s="52">
        <v>0.67</v>
      </c>
      <c r="I22" s="53">
        <v>0.71</v>
      </c>
      <c r="J22" s="54">
        <v>0.7</v>
      </c>
      <c r="K22" s="54">
        <v>0.7</v>
      </c>
      <c r="L22" s="252" t="s">
        <v>430</v>
      </c>
      <c r="M22" s="252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6">
      <c r="A23" s="10"/>
      <c r="B23" s="10"/>
      <c r="D23" s="250" t="s">
        <v>421</v>
      </c>
      <c r="E23" s="250"/>
      <c r="F23" s="52">
        <v>0.78</v>
      </c>
      <c r="G23" s="52">
        <v>0.71</v>
      </c>
      <c r="H23" s="54">
        <v>0.7</v>
      </c>
      <c r="I23" s="53">
        <v>0.72</v>
      </c>
      <c r="J23" s="54">
        <v>0.7</v>
      </c>
      <c r="K23" s="52">
        <v>0.71</v>
      </c>
      <c r="L23" s="252" t="s">
        <v>431</v>
      </c>
      <c r="M23" s="252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6">
      <c r="A24" s="10"/>
      <c r="B24" s="10"/>
      <c r="D24" s="250" t="s">
        <v>423</v>
      </c>
      <c r="E24" s="250"/>
      <c r="F24" s="52">
        <v>0.86</v>
      </c>
      <c r="G24" s="52">
        <v>0.79</v>
      </c>
      <c r="H24" s="52">
        <v>0.78</v>
      </c>
      <c r="I24" s="53">
        <v>0.79</v>
      </c>
      <c r="J24" s="52">
        <v>0.78</v>
      </c>
      <c r="K24" s="52">
        <v>0.79</v>
      </c>
      <c r="L24" s="252" t="s">
        <v>432</v>
      </c>
      <c r="M24" s="252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>
      <c r="A25" s="10"/>
      <c r="B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>
      <c r="A26" s="10"/>
      <c r="B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>
      <c r="A27" s="10"/>
      <c r="B27" s="10"/>
      <c r="C27" s="10"/>
      <c r="D27" s="10"/>
      <c r="E27" s="10"/>
      <c r="F27" s="11"/>
      <c r="G27" s="13"/>
      <c r="H27" s="10"/>
      <c r="I27" s="10"/>
      <c r="J27" s="11"/>
      <c r="K27" s="13"/>
      <c r="L27" s="10"/>
      <c r="M27" s="10"/>
      <c r="N27" s="11"/>
      <c r="O27" s="13"/>
      <c r="P27" s="10"/>
      <c r="Q27" s="10"/>
      <c r="R27" s="11"/>
      <c r="S27" s="13"/>
      <c r="T27" s="10"/>
      <c r="U27" s="10"/>
      <c r="V27" s="11"/>
      <c r="W27" s="13"/>
      <c r="X27" s="10"/>
      <c r="Y27" s="10"/>
      <c r="Z27" s="11"/>
      <c r="AA27" s="13"/>
      <c r="AB27" s="10"/>
      <c r="AC27" s="10"/>
      <c r="AD27" s="11"/>
      <c r="AE27" s="13"/>
      <c r="AF27" s="10"/>
      <c r="AG27" s="10"/>
    </row>
    <row r="28" spans="1:33">
      <c r="A28" s="11"/>
      <c r="B28" s="41"/>
      <c r="C28" s="10"/>
      <c r="K28" s="51"/>
    </row>
    <row r="29" spans="1:33">
      <c r="A29" s="10"/>
      <c r="B29" s="10"/>
      <c r="C29" s="10"/>
      <c r="K29" s="51"/>
    </row>
    <row r="30" spans="1:33">
      <c r="K30" s="51"/>
    </row>
    <row r="31" spans="1:33">
      <c r="K31" s="51"/>
    </row>
  </sheetData>
  <mergeCells count="9">
    <mergeCell ref="D21:E21"/>
    <mergeCell ref="D22:E22"/>
    <mergeCell ref="D23:E23"/>
    <mergeCell ref="D24:E24"/>
    <mergeCell ref="K1:N1"/>
    <mergeCell ref="L21:M21"/>
    <mergeCell ref="L22:M22"/>
    <mergeCell ref="L23:M23"/>
    <mergeCell ref="L24:M24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76"/>
  <sheetViews>
    <sheetView topLeftCell="F46" zoomScale="80" zoomScaleNormal="80" workbookViewId="0">
      <selection activeCell="Z70" sqref="Z70"/>
    </sheetView>
  </sheetViews>
  <sheetFormatPr baseColWidth="10" defaultColWidth="9.1640625" defaultRowHeight="15"/>
  <cols>
    <col min="1" max="1" width="9.6640625" style="1" bestFit="1" customWidth="1"/>
    <col min="2" max="4" width="9.1640625" style="1"/>
    <col min="5" max="5" width="13.5" style="1" bestFit="1" customWidth="1"/>
    <col min="6" max="16384" width="9.1640625" style="1"/>
  </cols>
  <sheetData>
    <row r="1" spans="1:27" ht="16">
      <c r="A1" s="36" t="s">
        <v>213</v>
      </c>
      <c r="B1" s="4" t="s">
        <v>1</v>
      </c>
      <c r="C1" s="4"/>
      <c r="D1" s="4"/>
      <c r="E1" s="15">
        <v>45829</v>
      </c>
      <c r="G1" s="133" t="s">
        <v>762</v>
      </c>
      <c r="H1" s="133"/>
      <c r="I1" s="10"/>
    </row>
    <row r="2" spans="1:27">
      <c r="B2" s="40"/>
      <c r="C2" s="10"/>
      <c r="D2" s="10"/>
      <c r="E2" s="10"/>
      <c r="F2" s="10"/>
      <c r="G2" s="10"/>
      <c r="H2" s="10"/>
      <c r="I2" s="10"/>
    </row>
    <row r="3" spans="1:27">
      <c r="A3" s="10"/>
      <c r="B3" s="10"/>
      <c r="C3" s="10"/>
      <c r="D3" s="10"/>
      <c r="E3" s="10"/>
      <c r="F3" s="10"/>
      <c r="G3" s="10"/>
      <c r="H3" s="10"/>
    </row>
    <row r="4" spans="1:27">
      <c r="A4" s="44" t="s">
        <v>396</v>
      </c>
      <c r="B4" s="45"/>
      <c r="C4" s="44"/>
      <c r="D4" s="44"/>
      <c r="E4" s="44"/>
      <c r="F4" s="44"/>
      <c r="G4" s="45"/>
      <c r="H4" s="44"/>
      <c r="I4" s="44"/>
      <c r="J4" s="44"/>
      <c r="K4" s="44"/>
      <c r="L4" s="44"/>
      <c r="M4" s="44"/>
      <c r="N4" s="44"/>
      <c r="O4" s="44"/>
      <c r="P4" s="44"/>
    </row>
    <row r="5" spans="1:27">
      <c r="A5" s="44" t="s">
        <v>397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</row>
    <row r="6" spans="1:27">
      <c r="A6" s="10"/>
      <c r="B6" s="10"/>
      <c r="C6" s="10"/>
      <c r="D6" s="10"/>
      <c r="F6" s="10"/>
      <c r="G6" s="10"/>
      <c r="H6" s="10"/>
    </row>
    <row r="7" spans="1:27">
      <c r="A7" s="10"/>
      <c r="B7" s="10"/>
      <c r="C7" s="10"/>
      <c r="D7" s="10"/>
      <c r="F7" s="10"/>
      <c r="G7" s="10"/>
      <c r="H7" s="10"/>
    </row>
    <row r="8" spans="1:27" ht="19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33" t="s">
        <v>306</v>
      </c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Y8" s="16"/>
      <c r="Z8" s="16"/>
      <c r="AA8" s="16"/>
    </row>
    <row r="9" spans="1:27">
      <c r="A9" s="2"/>
      <c r="B9" s="5" t="s">
        <v>6</v>
      </c>
      <c r="C9" s="2"/>
      <c r="E9" s="2"/>
      <c r="F9" s="5" t="s">
        <v>7</v>
      </c>
      <c r="G9" s="2"/>
      <c r="I9" s="2"/>
      <c r="J9" s="5" t="s">
        <v>40</v>
      </c>
      <c r="K9" s="2"/>
      <c r="M9" s="2"/>
      <c r="N9" s="5" t="s">
        <v>169</v>
      </c>
      <c r="O9" s="2"/>
      <c r="Q9" s="2"/>
      <c r="R9" s="5" t="s">
        <v>220</v>
      </c>
      <c r="S9" s="2"/>
      <c r="U9" s="2"/>
      <c r="V9" s="5" t="s">
        <v>222</v>
      </c>
      <c r="W9" s="2"/>
      <c r="Y9" s="2"/>
      <c r="Z9" s="5" t="s">
        <v>360</v>
      </c>
      <c r="AA9" s="2"/>
    </row>
    <row r="10" spans="1:27">
      <c r="A10" s="1" t="s">
        <v>307</v>
      </c>
      <c r="E10" s="1" t="s">
        <v>310</v>
      </c>
      <c r="I10" s="1" t="s">
        <v>319</v>
      </c>
      <c r="M10" s="1" t="s">
        <v>315</v>
      </c>
      <c r="Q10" s="1" t="s">
        <v>322</v>
      </c>
      <c r="U10" s="1" t="s">
        <v>29</v>
      </c>
      <c r="Y10" s="1" t="s">
        <v>362</v>
      </c>
    </row>
    <row r="11" spans="1:27">
      <c r="A11" s="1" t="s">
        <v>308</v>
      </c>
      <c r="E11" s="1" t="s">
        <v>311</v>
      </c>
      <c r="I11" s="1" t="s">
        <v>224</v>
      </c>
      <c r="M11" s="1" t="s">
        <v>311</v>
      </c>
      <c r="Q11" s="1" t="s">
        <v>224</v>
      </c>
      <c r="U11" s="1" t="s">
        <v>326</v>
      </c>
      <c r="Y11" s="1" t="s">
        <v>363</v>
      </c>
    </row>
    <row r="13" spans="1:27">
      <c r="A13" s="1" t="s">
        <v>309</v>
      </c>
      <c r="E13" s="1" t="s">
        <v>312</v>
      </c>
      <c r="I13" s="1" t="s">
        <v>320</v>
      </c>
      <c r="M13" s="1" t="s">
        <v>316</v>
      </c>
      <c r="Q13" s="1" t="s">
        <v>153</v>
      </c>
      <c r="U13" s="1" t="s">
        <v>327</v>
      </c>
      <c r="Y13" s="1" t="s">
        <v>364</v>
      </c>
    </row>
    <row r="14" spans="1:27">
      <c r="A14" s="1" t="s">
        <v>223</v>
      </c>
      <c r="E14" s="1" t="s">
        <v>313</v>
      </c>
      <c r="I14" s="1" t="s">
        <v>13</v>
      </c>
      <c r="M14" s="1" t="s">
        <v>317</v>
      </c>
      <c r="Q14" s="1" t="s">
        <v>323</v>
      </c>
      <c r="U14" s="1" t="s">
        <v>328</v>
      </c>
      <c r="Y14" s="1" t="s">
        <v>365</v>
      </c>
    </row>
    <row r="16" spans="1:27">
      <c r="A16" s="1" t="s">
        <v>145</v>
      </c>
      <c r="E16" s="1" t="s">
        <v>314</v>
      </c>
      <c r="I16" s="1" t="s">
        <v>321</v>
      </c>
      <c r="M16" s="1" t="s">
        <v>318</v>
      </c>
      <c r="Q16" s="1" t="s">
        <v>324</v>
      </c>
      <c r="U16" s="1" t="s">
        <v>329</v>
      </c>
      <c r="Y16" s="1" t="s">
        <v>366</v>
      </c>
    </row>
    <row r="17" spans="1:27">
      <c r="A17" s="1" t="s">
        <v>13</v>
      </c>
      <c r="E17" s="1" t="s">
        <v>313</v>
      </c>
      <c r="I17" s="1" t="s">
        <v>224</v>
      </c>
      <c r="M17" s="1" t="s">
        <v>313</v>
      </c>
      <c r="Q17" s="1" t="s">
        <v>325</v>
      </c>
      <c r="U17" s="1" t="s">
        <v>308</v>
      </c>
      <c r="Y17" s="1" t="s">
        <v>367</v>
      </c>
    </row>
    <row r="19" spans="1:27">
      <c r="A19" s="34" t="s">
        <v>3</v>
      </c>
      <c r="B19" s="35">
        <f>AVERAGE(1.37,1.39,1.41)</f>
        <v>1.39</v>
      </c>
      <c r="C19" s="18"/>
      <c r="E19" s="34" t="s">
        <v>3</v>
      </c>
      <c r="F19" s="35">
        <f>AVERAGE(1.45,1.46,1.46)</f>
        <v>1.4566666666666668</v>
      </c>
      <c r="G19" s="18"/>
      <c r="I19" s="34" t="s">
        <v>3</v>
      </c>
      <c r="J19" s="35">
        <f>AVERAGE(1.42,1.41,1.42)</f>
        <v>1.4166666666666667</v>
      </c>
      <c r="K19" s="18"/>
      <c r="M19" s="34" t="s">
        <v>3</v>
      </c>
      <c r="N19" s="35">
        <f>AVERAGE(1.45,1.49,1.46)</f>
        <v>1.4666666666666668</v>
      </c>
      <c r="O19" s="18"/>
      <c r="Q19" s="34" t="s">
        <v>3</v>
      </c>
      <c r="R19" s="35">
        <f>AVERAGE(1.42,1.51,1.41)</f>
        <v>1.4466666666666665</v>
      </c>
      <c r="S19" s="18"/>
      <c r="U19" s="34" t="s">
        <v>3</v>
      </c>
      <c r="V19" s="35">
        <f>AVERAGE(1.38,1.39,1.37)</f>
        <v>1.38</v>
      </c>
      <c r="W19" s="18"/>
      <c r="Y19" s="34" t="s">
        <v>3</v>
      </c>
      <c r="Z19" s="35">
        <f>AVERAGE(1.51,1.51,1.51)</f>
        <v>1.51</v>
      </c>
      <c r="AA19" s="18"/>
    </row>
    <row r="20" spans="1:27" ht="19">
      <c r="A20" s="16"/>
      <c r="B20" s="42"/>
      <c r="C20" s="16"/>
      <c r="D20" s="16"/>
      <c r="E20" s="42"/>
      <c r="F20" s="16"/>
      <c r="G20" s="16"/>
      <c r="H20" s="16"/>
      <c r="I20" s="16"/>
      <c r="J20" s="42"/>
      <c r="K20" s="16"/>
      <c r="L20" s="33" t="s">
        <v>39</v>
      </c>
      <c r="M20" s="16"/>
      <c r="N20" s="43"/>
      <c r="O20" s="16"/>
      <c r="P20" s="16"/>
      <c r="Q20" s="16"/>
      <c r="R20" s="43"/>
      <c r="S20" s="16"/>
      <c r="T20" s="16"/>
      <c r="U20" s="16"/>
      <c r="V20" s="43"/>
      <c r="W20" s="16"/>
      <c r="Y20" s="16"/>
      <c r="Z20" s="43"/>
      <c r="AA20" s="16"/>
    </row>
    <row r="21" spans="1:27">
      <c r="A21" s="2"/>
      <c r="B21" s="5" t="s">
        <v>6</v>
      </c>
      <c r="C21" s="2"/>
      <c r="E21" s="2"/>
      <c r="F21" s="5" t="s">
        <v>7</v>
      </c>
      <c r="G21" s="2"/>
      <c r="I21" s="2"/>
      <c r="J21" s="5" t="s">
        <v>40</v>
      </c>
      <c r="K21" s="2"/>
      <c r="M21" s="2"/>
      <c r="N21" s="5" t="s">
        <v>169</v>
      </c>
      <c r="O21" s="2"/>
      <c r="Q21" s="2"/>
      <c r="R21" s="5" t="s">
        <v>220</v>
      </c>
      <c r="S21" s="2"/>
      <c r="U21" s="2"/>
      <c r="V21" s="5" t="s">
        <v>221</v>
      </c>
      <c r="W21" s="2"/>
      <c r="Y21" s="2"/>
      <c r="Z21" s="5" t="s">
        <v>361</v>
      </c>
      <c r="AA21" s="2"/>
    </row>
    <row r="22" spans="1:27">
      <c r="A22" s="1" t="s">
        <v>330</v>
      </c>
      <c r="E22" s="1" t="s">
        <v>331</v>
      </c>
      <c r="I22" s="1" t="s">
        <v>336</v>
      </c>
      <c r="M22" s="1" t="s">
        <v>242</v>
      </c>
      <c r="Q22" s="1" t="s">
        <v>356</v>
      </c>
      <c r="U22" s="1" t="s">
        <v>351</v>
      </c>
      <c r="Y22" s="1" t="s">
        <v>389</v>
      </c>
    </row>
    <row r="23" spans="1:27">
      <c r="A23" s="1" t="s">
        <v>236</v>
      </c>
      <c r="E23" s="1" t="s">
        <v>245</v>
      </c>
      <c r="I23" s="1" t="s">
        <v>245</v>
      </c>
      <c r="M23" s="1" t="s">
        <v>255</v>
      </c>
      <c r="Q23" s="1" t="s">
        <v>357</v>
      </c>
      <c r="U23" s="1" t="s">
        <v>352</v>
      </c>
      <c r="Y23" s="1" t="s">
        <v>243</v>
      </c>
    </row>
    <row r="25" spans="1:27">
      <c r="A25" s="1" t="s">
        <v>331</v>
      </c>
      <c r="E25" s="1" t="s">
        <v>282</v>
      </c>
      <c r="I25" s="1" t="s">
        <v>337</v>
      </c>
      <c r="M25" s="1" t="s">
        <v>188</v>
      </c>
      <c r="Q25" s="1" t="s">
        <v>345</v>
      </c>
      <c r="U25" s="1" t="s">
        <v>353</v>
      </c>
      <c r="Y25" s="1" t="s">
        <v>390</v>
      </c>
    </row>
    <row r="26" spans="1:27">
      <c r="A26" s="1" t="s">
        <v>301</v>
      </c>
      <c r="E26" s="1" t="s">
        <v>245</v>
      </c>
      <c r="I26" s="1" t="s">
        <v>301</v>
      </c>
      <c r="M26" s="1" t="s">
        <v>239</v>
      </c>
      <c r="Q26" s="1" t="s">
        <v>346</v>
      </c>
      <c r="U26" s="1" t="s">
        <v>354</v>
      </c>
      <c r="Y26" s="1" t="s">
        <v>243</v>
      </c>
    </row>
    <row r="28" spans="1:27">
      <c r="A28" s="1" t="s">
        <v>332</v>
      </c>
      <c r="E28" s="1" t="s">
        <v>335</v>
      </c>
      <c r="I28" s="1" t="s">
        <v>240</v>
      </c>
      <c r="M28" s="1" t="s">
        <v>84</v>
      </c>
      <c r="Q28" s="1" t="s">
        <v>347</v>
      </c>
      <c r="U28" s="1" t="s">
        <v>331</v>
      </c>
      <c r="Y28" s="1" t="s">
        <v>390</v>
      </c>
    </row>
    <row r="29" spans="1:27">
      <c r="A29" s="1" t="s">
        <v>333</v>
      </c>
      <c r="E29" s="1" t="s">
        <v>245</v>
      </c>
      <c r="I29" s="1" t="s">
        <v>338</v>
      </c>
      <c r="M29" s="1" t="s">
        <v>342</v>
      </c>
      <c r="Q29" s="1" t="s">
        <v>348</v>
      </c>
      <c r="U29" s="1" t="s">
        <v>241</v>
      </c>
      <c r="Y29" s="1" t="s">
        <v>243</v>
      </c>
    </row>
    <row r="31" spans="1:27">
      <c r="A31" s="1" t="s">
        <v>334</v>
      </c>
      <c r="E31" s="1" t="s">
        <v>341</v>
      </c>
      <c r="I31" s="1" t="s">
        <v>339</v>
      </c>
      <c r="M31" s="1" t="s">
        <v>343</v>
      </c>
      <c r="Q31" s="1" t="s">
        <v>349</v>
      </c>
      <c r="U31" s="1" t="s">
        <v>355</v>
      </c>
      <c r="Y31" s="1" t="s">
        <v>391</v>
      </c>
    </row>
    <row r="32" spans="1:27">
      <c r="A32" s="1" t="s">
        <v>113</v>
      </c>
      <c r="E32" s="1" t="s">
        <v>241</v>
      </c>
      <c r="I32" s="1" t="s">
        <v>113</v>
      </c>
      <c r="M32" s="1" t="s">
        <v>344</v>
      </c>
      <c r="Q32" s="1" t="s">
        <v>350</v>
      </c>
      <c r="U32" s="1" t="s">
        <v>350</v>
      </c>
      <c r="Y32" s="1" t="s">
        <v>392</v>
      </c>
    </row>
    <row r="34" spans="1:27">
      <c r="A34" s="1" t="s">
        <v>359</v>
      </c>
      <c r="I34" s="1" t="s">
        <v>340</v>
      </c>
      <c r="Q34" s="1" t="s">
        <v>358</v>
      </c>
    </row>
    <row r="35" spans="1:27">
      <c r="A35" s="1" t="s">
        <v>338</v>
      </c>
      <c r="I35" s="1" t="s">
        <v>249</v>
      </c>
      <c r="Q35" s="1" t="s">
        <v>342</v>
      </c>
    </row>
    <row r="37" spans="1:27">
      <c r="A37" s="34" t="s">
        <v>3</v>
      </c>
      <c r="B37" s="35">
        <f>AVERAGE(0.73,0.74,0.74,0.77)</f>
        <v>0.745</v>
      </c>
      <c r="C37" s="18"/>
      <c r="E37" s="34" t="s">
        <v>3</v>
      </c>
      <c r="F37" s="35">
        <f>AVERAGE(0.66,0.66,0.66,0.68)</f>
        <v>0.66500000000000004</v>
      </c>
      <c r="G37" s="18"/>
      <c r="I37" s="34" t="s">
        <v>3</v>
      </c>
      <c r="J37" s="35">
        <f>AVERAGE(0.66,0.74,0.78,0.77,0.71)</f>
        <v>0.73199999999999998</v>
      </c>
      <c r="K37" s="18"/>
      <c r="M37" s="34" t="s">
        <v>305</v>
      </c>
      <c r="N37" s="35">
        <f>AVERAGE(0.7,0.68,0.63,0.65,0.69)</f>
        <v>0.66999999999999993</v>
      </c>
      <c r="O37" s="18"/>
      <c r="Q37" s="34" t="s">
        <v>3</v>
      </c>
      <c r="R37" s="35">
        <f>AVERAGE(0.56,0.63,0.59,0.6,0.63)</f>
        <v>0.60199999999999998</v>
      </c>
      <c r="S37" s="18"/>
      <c r="U37" s="34" t="s">
        <v>3</v>
      </c>
      <c r="V37" s="35">
        <f>AVERAGE(0.61,0.66,0.68,0.6)</f>
        <v>0.63750000000000007</v>
      </c>
      <c r="W37" s="18"/>
      <c r="Y37" s="34" t="s">
        <v>3</v>
      </c>
      <c r="Z37" s="35">
        <f>AVERAGE(0.67,0.67,0.67,0.65)</f>
        <v>0.66500000000000004</v>
      </c>
      <c r="AA37" s="18"/>
    </row>
    <row r="38" spans="1:27" s="191" customFormat="1">
      <c r="A38" s="191" t="s">
        <v>996</v>
      </c>
      <c r="B38" s="195">
        <f>_xlfn.STDEV.S(0.007,0.007,0.008,0.007)</f>
        <v>5.0000000000000001E-4</v>
      </c>
      <c r="E38" s="191" t="s">
        <v>996</v>
      </c>
      <c r="F38" s="191">
        <v>0</v>
      </c>
      <c r="I38" s="191" t="s">
        <v>996</v>
      </c>
      <c r="J38" s="195">
        <v>0</v>
      </c>
      <c r="M38" s="191" t="s">
        <v>996</v>
      </c>
      <c r="N38" s="195">
        <f>_xlfn.STDEV.S(0.007,0.007,0.008,0.008)</f>
        <v>5.773502691896258E-4</v>
      </c>
      <c r="Q38" s="191" t="s">
        <v>996</v>
      </c>
      <c r="R38" s="195">
        <f>_xlfn.STDEV.S(0.007,0.007,0.008,0.008,0.009)</f>
        <v>8.3666002653407521E-4</v>
      </c>
      <c r="U38" s="191" t="s">
        <v>996</v>
      </c>
      <c r="V38" s="195">
        <f>_xlfn.STDEV.S(0.007,0.007,0.008,0.008)</f>
        <v>5.773502691896258E-4</v>
      </c>
      <c r="Y38" s="191" t="s">
        <v>996</v>
      </c>
      <c r="Z38" s="195">
        <f>_xlfn.STDEV.S(0.007,0.007,0.007,0.006)</f>
        <v>5.0000000000000001E-4</v>
      </c>
    </row>
    <row r="40" spans="1:27" ht="19">
      <c r="A40" s="16"/>
      <c r="B40" s="16"/>
      <c r="C40" s="16"/>
      <c r="D40" s="16"/>
      <c r="E40" s="16"/>
      <c r="F40" s="16"/>
      <c r="G40" s="16"/>
      <c r="H40" s="16"/>
      <c r="I40" s="16"/>
      <c r="J40" s="33" t="s">
        <v>41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Y40" s="16" t="s">
        <v>994</v>
      </c>
      <c r="Z40" s="16"/>
      <c r="AA40" s="16"/>
    </row>
    <row r="41" spans="1:27">
      <c r="A41" s="2"/>
      <c r="B41" s="5" t="s">
        <v>6</v>
      </c>
      <c r="C41" s="2"/>
      <c r="E41" s="2"/>
      <c r="F41" s="5" t="s">
        <v>7</v>
      </c>
      <c r="G41" s="2"/>
      <c r="I41" s="2"/>
      <c r="J41" s="5" t="s">
        <v>40</v>
      </c>
      <c r="K41" s="2"/>
      <c r="M41" s="2"/>
      <c r="N41" s="5" t="s">
        <v>169</v>
      </c>
      <c r="O41" s="2"/>
      <c r="Q41" s="2"/>
      <c r="R41" s="5" t="s">
        <v>220</v>
      </c>
      <c r="S41" s="2"/>
      <c r="U41" s="2"/>
      <c r="V41" s="5" t="s">
        <v>222</v>
      </c>
      <c r="W41" s="2"/>
      <c r="Y41" s="2"/>
      <c r="Z41" s="5" t="s">
        <v>360</v>
      </c>
      <c r="AA41" s="2"/>
    </row>
    <row r="42" spans="1:27">
      <c r="A42" s="1" t="s">
        <v>70</v>
      </c>
      <c r="E42" s="1" t="s">
        <v>373</v>
      </c>
      <c r="I42" s="1" t="s">
        <v>373</v>
      </c>
      <c r="M42" s="1" t="s">
        <v>235</v>
      </c>
      <c r="Q42" s="1" t="s">
        <v>381</v>
      </c>
      <c r="U42" s="1" t="s">
        <v>385</v>
      </c>
      <c r="Y42" s="1" t="s">
        <v>225</v>
      </c>
    </row>
    <row r="43" spans="1:27">
      <c r="A43" s="1" t="s">
        <v>368</v>
      </c>
      <c r="E43" s="1" t="s">
        <v>374</v>
      </c>
      <c r="I43" s="1" t="s">
        <v>374</v>
      </c>
      <c r="M43" s="1" t="s">
        <v>376</v>
      </c>
      <c r="Q43" s="1" t="s">
        <v>382</v>
      </c>
      <c r="U43" s="1" t="s">
        <v>386</v>
      </c>
      <c r="Y43" s="1" t="s">
        <v>393</v>
      </c>
    </row>
    <row r="45" spans="1:27">
      <c r="A45" s="1" t="s">
        <v>369</v>
      </c>
      <c r="E45" s="1" t="s">
        <v>343</v>
      </c>
      <c r="I45" s="1" t="s">
        <v>377</v>
      </c>
      <c r="M45" s="1" t="s">
        <v>377</v>
      </c>
      <c r="Q45" s="1" t="s">
        <v>383</v>
      </c>
      <c r="U45" s="1" t="s">
        <v>387</v>
      </c>
      <c r="Y45" s="1" t="s">
        <v>394</v>
      </c>
    </row>
    <row r="46" spans="1:27">
      <c r="A46" s="1" t="s">
        <v>370</v>
      </c>
      <c r="E46" s="1" t="s">
        <v>374</v>
      </c>
      <c r="I46" s="1" t="s">
        <v>378</v>
      </c>
      <c r="M46" s="1" t="s">
        <v>378</v>
      </c>
      <c r="Q46" s="1" t="s">
        <v>382</v>
      </c>
      <c r="U46" s="1" t="s">
        <v>384</v>
      </c>
      <c r="Y46" s="1" t="s">
        <v>395</v>
      </c>
    </row>
    <row r="48" spans="1:27">
      <c r="A48" s="1" t="s">
        <v>371</v>
      </c>
      <c r="E48" s="1" t="s">
        <v>375</v>
      </c>
      <c r="I48" s="1" t="s">
        <v>371</v>
      </c>
      <c r="M48" s="1" t="s">
        <v>379</v>
      </c>
      <c r="Q48" s="1" t="s">
        <v>193</v>
      </c>
      <c r="U48" s="1" t="s">
        <v>277</v>
      </c>
      <c r="Y48" s="1" t="s">
        <v>398</v>
      </c>
    </row>
    <row r="49" spans="1:27">
      <c r="A49" s="1" t="s">
        <v>372</v>
      </c>
      <c r="E49" s="1" t="s">
        <v>374</v>
      </c>
      <c r="I49" s="1" t="s">
        <v>372</v>
      </c>
      <c r="M49" s="1" t="s">
        <v>380</v>
      </c>
      <c r="Q49" s="1" t="s">
        <v>384</v>
      </c>
      <c r="U49" s="1" t="s">
        <v>388</v>
      </c>
      <c r="Y49" s="1" t="s">
        <v>388</v>
      </c>
    </row>
    <row r="51" spans="1:27">
      <c r="A51" s="34" t="s">
        <v>3</v>
      </c>
      <c r="B51" s="35">
        <f>AVERAGE(0.28,0.27,0.29)</f>
        <v>0.28000000000000003</v>
      </c>
      <c r="C51" s="18"/>
      <c r="E51" s="34" t="s">
        <v>3</v>
      </c>
      <c r="F51" s="35">
        <f>AVERAGE(0.2,0.2,0.2)</f>
        <v>0.20000000000000004</v>
      </c>
      <c r="G51" s="18"/>
      <c r="I51" s="34" t="s">
        <v>3</v>
      </c>
      <c r="J51" s="35">
        <f>AVERAGE(0.29,0.2,0.25)</f>
        <v>0.24666666666666667</v>
      </c>
      <c r="K51" s="18"/>
      <c r="M51" s="34" t="s">
        <v>3</v>
      </c>
      <c r="N51" s="35">
        <f>AVERAGE(0.24,0.25,0.21)</f>
        <v>0.23333333333333331</v>
      </c>
      <c r="O51" s="18"/>
      <c r="Q51" s="34" t="s">
        <v>3</v>
      </c>
      <c r="R51" s="35">
        <f>AVERAGE(0.34,0.34,0.35)</f>
        <v>0.34333333333333332</v>
      </c>
      <c r="S51" s="18"/>
      <c r="U51" s="34" t="s">
        <v>3</v>
      </c>
      <c r="V51" s="35">
        <f>AVERAGE(0.32,0.35,0.37)</f>
        <v>0.34666666666666668</v>
      </c>
      <c r="W51" s="18"/>
      <c r="Y51" s="34" t="s">
        <v>3</v>
      </c>
      <c r="Z51" s="35">
        <f>AVERAGE(0.39,0.36,0.37)</f>
        <v>0.37333333333333335</v>
      </c>
      <c r="AA51" s="18"/>
    </row>
    <row r="52" spans="1:27" s="191" customFormat="1">
      <c r="A52" s="191" t="s">
        <v>996</v>
      </c>
      <c r="B52" s="195">
        <f>_xlfn.STDEV.S(0.007,0.007,0.008)</f>
        <v>5.773502691896258E-4</v>
      </c>
      <c r="E52" s="191" t="s">
        <v>996</v>
      </c>
      <c r="F52" s="191">
        <v>0</v>
      </c>
      <c r="I52" s="191" t="s">
        <v>996</v>
      </c>
      <c r="J52" s="195">
        <f>_xlfn.STDEV.S(0.007,0.008,0.008)</f>
        <v>5.773502691896258E-4</v>
      </c>
      <c r="M52" s="191" t="s">
        <v>996</v>
      </c>
      <c r="N52" s="195">
        <f>_xlfn.STDEV.S(0.007,0.007,0.008)</f>
        <v>5.773502691896258E-4</v>
      </c>
      <c r="Q52" s="191" t="s">
        <v>996</v>
      </c>
      <c r="R52" s="195">
        <f>_xlfn.STDEV.S(0.007,0.007,0.008)</f>
        <v>5.773502691896258E-4</v>
      </c>
      <c r="U52" s="191" t="s">
        <v>996</v>
      </c>
      <c r="V52" s="195">
        <f>_xlfn.STDEV.S(0.007,0.007,0.008)</f>
        <v>5.773502691896258E-4</v>
      </c>
      <c r="Y52" s="191" t="s">
        <v>996</v>
      </c>
      <c r="Z52" s="191">
        <f>_xlfn.STDEV.S(0.007,0.007,0.008)</f>
        <v>5.773502691896258E-4</v>
      </c>
    </row>
    <row r="57" spans="1:27" ht="19">
      <c r="A57" s="16"/>
      <c r="B57" s="16"/>
      <c r="C57" s="16"/>
      <c r="D57" s="16"/>
      <c r="E57" s="16"/>
      <c r="F57" s="74" t="s">
        <v>484</v>
      </c>
      <c r="G57" s="16"/>
      <c r="H57" s="16"/>
      <c r="I57" s="16"/>
      <c r="J57" s="33" t="s">
        <v>41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Y57" s="16"/>
      <c r="Z57" s="16"/>
      <c r="AA57" s="16"/>
    </row>
    <row r="58" spans="1:27">
      <c r="A58" s="2"/>
      <c r="B58" s="5" t="s">
        <v>6</v>
      </c>
      <c r="C58" s="2"/>
      <c r="E58" s="2"/>
      <c r="F58" s="5" t="s">
        <v>7</v>
      </c>
      <c r="G58" s="2"/>
      <c r="I58" s="2"/>
      <c r="J58" s="5" t="s">
        <v>40</v>
      </c>
      <c r="K58" s="2"/>
      <c r="M58" s="2"/>
      <c r="N58" s="5" t="s">
        <v>169</v>
      </c>
      <c r="O58" s="2"/>
      <c r="Q58" s="2"/>
      <c r="R58" s="5" t="s">
        <v>220</v>
      </c>
      <c r="S58" s="2"/>
      <c r="U58" s="2"/>
      <c r="V58" s="5" t="s">
        <v>222</v>
      </c>
      <c r="W58" s="2"/>
      <c r="Y58" s="2"/>
      <c r="Z58" s="5" t="s">
        <v>360</v>
      </c>
      <c r="AA58" s="2"/>
    </row>
    <row r="59" spans="1:27">
      <c r="A59" s="1" t="s">
        <v>485</v>
      </c>
      <c r="E59" s="1" t="s">
        <v>488</v>
      </c>
      <c r="I59" s="1" t="s">
        <v>521</v>
      </c>
      <c r="M59" s="1" t="s">
        <v>526</v>
      </c>
      <c r="Q59" s="1" t="s">
        <v>290</v>
      </c>
      <c r="U59" s="1" t="s">
        <v>114</v>
      </c>
      <c r="Y59" s="1" t="s">
        <v>537</v>
      </c>
    </row>
    <row r="60" spans="1:27">
      <c r="A60" s="1" t="s">
        <v>486</v>
      </c>
      <c r="E60" s="1" t="s">
        <v>489</v>
      </c>
      <c r="I60" s="1" t="s">
        <v>522</v>
      </c>
      <c r="M60" s="1" t="s">
        <v>527</v>
      </c>
      <c r="Q60" s="1" t="s">
        <v>530</v>
      </c>
      <c r="U60" s="1" t="s">
        <v>534</v>
      </c>
      <c r="Y60" s="1" t="s">
        <v>259</v>
      </c>
    </row>
    <row r="62" spans="1:27">
      <c r="A62" s="1" t="s">
        <v>265</v>
      </c>
      <c r="E62" s="1" t="s">
        <v>490</v>
      </c>
      <c r="I62" s="1" t="s">
        <v>523</v>
      </c>
      <c r="M62" s="1" t="s">
        <v>528</v>
      </c>
      <c r="Q62" s="1" t="s">
        <v>531</v>
      </c>
      <c r="U62" s="1" t="s">
        <v>300</v>
      </c>
      <c r="Y62" s="1" t="s">
        <v>538</v>
      </c>
    </row>
    <row r="63" spans="1:27">
      <c r="A63" s="1" t="s">
        <v>487</v>
      </c>
      <c r="E63" s="1" t="s">
        <v>491</v>
      </c>
      <c r="I63" s="1" t="s">
        <v>524</v>
      </c>
      <c r="M63" s="1" t="s">
        <v>529</v>
      </c>
      <c r="Q63" s="1" t="s">
        <v>529</v>
      </c>
      <c r="U63" s="1" t="s">
        <v>243</v>
      </c>
      <c r="Y63" s="1" t="s">
        <v>539</v>
      </c>
    </row>
    <row r="65" spans="1:27">
      <c r="A65" s="1" t="s">
        <v>197</v>
      </c>
      <c r="E65" s="1" t="s">
        <v>519</v>
      </c>
      <c r="I65" s="1" t="s">
        <v>525</v>
      </c>
      <c r="M65" s="1" t="s">
        <v>419</v>
      </c>
      <c r="Q65" s="1" t="s">
        <v>532</v>
      </c>
      <c r="U65" s="1" t="s">
        <v>535</v>
      </c>
      <c r="Y65" s="1" t="s">
        <v>540</v>
      </c>
    </row>
    <row r="66" spans="1:27">
      <c r="A66" s="1" t="s">
        <v>487</v>
      </c>
      <c r="E66" s="1" t="s">
        <v>520</v>
      </c>
      <c r="I66" s="1" t="s">
        <v>401</v>
      </c>
      <c r="M66" s="1" t="s">
        <v>530</v>
      </c>
      <c r="Q66" s="1" t="s">
        <v>533</v>
      </c>
      <c r="U66" s="1" t="s">
        <v>468</v>
      </c>
      <c r="Y66" s="1" t="s">
        <v>541</v>
      </c>
    </row>
    <row r="68" spans="1:27">
      <c r="A68" s="34" t="s">
        <v>3</v>
      </c>
      <c r="B68" s="71">
        <f>AVERAGE(0.67,0.64,0.64)</f>
        <v>0.65</v>
      </c>
      <c r="C68" s="18"/>
      <c r="E68" s="34" t="s">
        <v>3</v>
      </c>
      <c r="F68" s="71">
        <f>AVERAGE(0.57,0.58,0.59)</f>
        <v>0.57999999999999996</v>
      </c>
      <c r="G68" s="18"/>
      <c r="I68" s="34" t="s">
        <v>3</v>
      </c>
      <c r="J68" s="71">
        <f>AVERAGE(0.87,0.84,0.81)</f>
        <v>0.84</v>
      </c>
      <c r="K68" s="18"/>
      <c r="M68" s="34" t="s">
        <v>3</v>
      </c>
      <c r="N68" s="71">
        <f>AVERAGE(0.5,0.54,0.55)</f>
        <v>0.53</v>
      </c>
      <c r="O68" s="18"/>
      <c r="Q68" s="34" t="s">
        <v>3</v>
      </c>
      <c r="R68" s="71">
        <f>AVERAGE(0.55,0.54,0.66)</f>
        <v>0.58333333333333337</v>
      </c>
      <c r="S68" s="18"/>
      <c r="U68" s="34" t="s">
        <v>3</v>
      </c>
      <c r="V68" s="35">
        <f>AVERAGE(0.6,0.67,0.63)</f>
        <v>0.6333333333333333</v>
      </c>
      <c r="W68" s="18"/>
      <c r="Y68" s="34" t="s">
        <v>3</v>
      </c>
      <c r="Z68" s="35">
        <f>AVERAGE(0.67,0.68,0.66)</f>
        <v>0.67</v>
      </c>
      <c r="AA68" s="18"/>
    </row>
    <row r="69" spans="1:27" s="191" customFormat="1">
      <c r="A69" s="191" t="s">
        <v>996</v>
      </c>
      <c r="B69" s="195">
        <f>_xlfn.STDEV.S(0.005,0.006,0.006)</f>
        <v>5.773502691896258E-4</v>
      </c>
      <c r="E69" s="191" t="s">
        <v>996</v>
      </c>
      <c r="F69" s="191">
        <f>_xlfn.STDEV.S(0.005,0.005,0.006)</f>
        <v>5.773502691896258E-4</v>
      </c>
      <c r="I69" s="191" t="s">
        <v>996</v>
      </c>
      <c r="J69" s="195">
        <f>_xlfn.STDEV.S(0.007,0.008,0.008)</f>
        <v>5.773502691896258E-4</v>
      </c>
      <c r="M69" s="191" t="s">
        <v>996</v>
      </c>
      <c r="N69" s="195">
        <v>0</v>
      </c>
      <c r="Q69" s="191" t="s">
        <v>996</v>
      </c>
      <c r="R69" s="195">
        <v>0</v>
      </c>
      <c r="U69" s="191" t="s">
        <v>996</v>
      </c>
      <c r="V69" s="195">
        <f>_xlfn.STDEV.S(0.007,0.007,0.006)</f>
        <v>5.773502691896258E-4</v>
      </c>
      <c r="Y69" s="191" t="s">
        <v>996</v>
      </c>
      <c r="Z69" s="191">
        <f>_xlfn.STDEV.S(0.005,0.005,0.006)</f>
        <v>5.773502691896258E-4</v>
      </c>
    </row>
    <row r="72" spans="1:27" ht="16">
      <c r="E72" s="250" t="s">
        <v>428</v>
      </c>
      <c r="F72" s="250"/>
      <c r="G72" s="250"/>
      <c r="H72" s="55">
        <v>0.35</v>
      </c>
      <c r="I72" s="55">
        <v>0.5</v>
      </c>
      <c r="J72" s="55">
        <v>0.7</v>
      </c>
      <c r="K72" s="55">
        <v>0.9</v>
      </c>
      <c r="L72" s="55">
        <v>1.5</v>
      </c>
      <c r="M72" s="55">
        <v>2</v>
      </c>
      <c r="N72" s="55">
        <v>7</v>
      </c>
    </row>
    <row r="73" spans="1:27" ht="16">
      <c r="E73" s="250" t="s">
        <v>426</v>
      </c>
      <c r="F73" s="250"/>
      <c r="G73" s="250"/>
      <c r="H73" s="53">
        <v>0.75</v>
      </c>
      <c r="I73" s="53">
        <v>0.67</v>
      </c>
      <c r="J73" s="53">
        <v>0.73</v>
      </c>
      <c r="K73" s="53">
        <v>0.67</v>
      </c>
      <c r="L73" s="53">
        <v>0.6</v>
      </c>
      <c r="M73" s="53">
        <v>0.64</v>
      </c>
      <c r="N73" s="53">
        <v>0.67</v>
      </c>
    </row>
    <row r="74" spans="1:27" ht="16">
      <c r="E74" s="250" t="s">
        <v>427</v>
      </c>
      <c r="F74" s="250"/>
      <c r="G74" s="250"/>
      <c r="H74" s="53">
        <v>0.28000000000000003</v>
      </c>
      <c r="I74" s="53">
        <v>0.2</v>
      </c>
      <c r="J74" s="53">
        <v>0.25</v>
      </c>
      <c r="K74" s="53">
        <v>0.23</v>
      </c>
      <c r="L74" s="53">
        <v>0.34</v>
      </c>
      <c r="M74" s="53">
        <v>0.35</v>
      </c>
      <c r="N74" s="53">
        <v>0.37</v>
      </c>
    </row>
    <row r="75" spans="1:27" s="75" customFormat="1" ht="16">
      <c r="E75" s="253" t="s">
        <v>542</v>
      </c>
      <c r="F75" s="254"/>
      <c r="G75" s="255"/>
      <c r="H75" s="76">
        <v>0.65</v>
      </c>
      <c r="I75" s="76">
        <v>0.57999999999999996</v>
      </c>
      <c r="J75" s="76">
        <v>0.84</v>
      </c>
      <c r="K75" s="76">
        <v>0.53</v>
      </c>
      <c r="L75" s="76">
        <v>0.57999999999999996</v>
      </c>
      <c r="M75" s="76">
        <v>0.63</v>
      </c>
      <c r="N75" s="76">
        <v>0.67</v>
      </c>
    </row>
    <row r="76" spans="1:27" s="77" customFormat="1" ht="16">
      <c r="E76" s="256" t="s">
        <v>536</v>
      </c>
      <c r="F76" s="257"/>
      <c r="G76" s="258"/>
      <c r="H76" s="78">
        <v>0.37</v>
      </c>
      <c r="I76" s="78">
        <v>0.38</v>
      </c>
      <c r="J76" s="78">
        <v>0.59</v>
      </c>
      <c r="K76" s="78">
        <v>0.3</v>
      </c>
      <c r="L76" s="78">
        <v>0.24</v>
      </c>
      <c r="M76" s="78">
        <v>0.28999999999999998</v>
      </c>
      <c r="N76" s="78">
        <v>0.3</v>
      </c>
    </row>
  </sheetData>
  <mergeCells count="5">
    <mergeCell ref="E72:G72"/>
    <mergeCell ref="E73:G73"/>
    <mergeCell ref="E74:G74"/>
    <mergeCell ref="E75:G75"/>
    <mergeCell ref="E76:G76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67"/>
  <sheetViews>
    <sheetView topLeftCell="G31" zoomScale="70" zoomScaleNormal="70" workbookViewId="0">
      <selection activeCell="Z58" sqref="Z58"/>
    </sheetView>
  </sheetViews>
  <sheetFormatPr baseColWidth="10" defaultColWidth="9.1640625" defaultRowHeight="15"/>
  <cols>
    <col min="1" max="1" width="9.6640625" style="1" bestFit="1" customWidth="1"/>
    <col min="2" max="4" width="9.1640625" style="1"/>
    <col min="5" max="5" width="13.5" style="1" bestFit="1" customWidth="1"/>
    <col min="6" max="6" width="10" style="1" customWidth="1"/>
    <col min="7" max="9" width="9.1640625" style="1"/>
    <col min="10" max="10" width="10.1640625" style="1" customWidth="1"/>
    <col min="11" max="17" width="9.1640625" style="1"/>
    <col min="18" max="18" width="16" style="1" bestFit="1" customWidth="1"/>
    <col min="19" max="16384" width="9.1640625" style="1"/>
  </cols>
  <sheetData>
    <row r="1" spans="1:31" ht="16">
      <c r="A1" s="59" t="s">
        <v>433</v>
      </c>
      <c r="B1" s="4" t="s">
        <v>1</v>
      </c>
      <c r="C1" s="4"/>
      <c r="D1" s="4"/>
      <c r="E1" s="60">
        <v>45839</v>
      </c>
    </row>
    <row r="3" spans="1:31" ht="16">
      <c r="A3" s="58" t="s">
        <v>434</v>
      </c>
      <c r="B3" s="18"/>
      <c r="C3" s="18"/>
      <c r="D3" s="18"/>
      <c r="E3" s="18"/>
      <c r="F3" s="18"/>
      <c r="G3" s="18"/>
      <c r="I3" s="251" t="s">
        <v>471</v>
      </c>
      <c r="J3" s="251"/>
      <c r="K3" s="251"/>
      <c r="L3" s="251"/>
      <c r="N3" s="133" t="s">
        <v>762</v>
      </c>
      <c r="O3" s="133"/>
    </row>
    <row r="5" spans="1:31">
      <c r="A5" s="263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Q5" s="263"/>
      <c r="R5" s="263"/>
      <c r="S5" s="263"/>
      <c r="T5" s="263"/>
      <c r="U5" s="263"/>
      <c r="V5" s="263"/>
      <c r="W5" s="263"/>
      <c r="X5" s="56"/>
      <c r="Y5" s="56"/>
      <c r="Z5" s="56"/>
      <c r="AA5" s="56"/>
      <c r="AB5" s="56"/>
      <c r="AC5" s="56"/>
      <c r="AD5" s="56"/>
      <c r="AE5" s="56"/>
    </row>
    <row r="6" spans="1:31">
      <c r="A6" s="264" t="s">
        <v>2</v>
      </c>
      <c r="B6" s="264"/>
      <c r="C6" s="264"/>
      <c r="D6" s="264"/>
      <c r="E6" s="264"/>
      <c r="F6" s="264"/>
      <c r="G6" s="264"/>
      <c r="H6" s="264"/>
      <c r="I6" s="264"/>
      <c r="J6" s="264"/>
      <c r="K6" s="264"/>
      <c r="L6" s="264"/>
      <c r="M6" s="264"/>
      <c r="N6" s="264"/>
      <c r="O6" s="264"/>
      <c r="Q6" s="264" t="s">
        <v>306</v>
      </c>
      <c r="R6" s="264"/>
      <c r="S6" s="264"/>
      <c r="T6" s="264"/>
      <c r="U6" s="264"/>
      <c r="V6" s="264"/>
      <c r="W6" s="264"/>
    </row>
    <row r="7" spans="1:31">
      <c r="F7" s="1" t="s">
        <v>435</v>
      </c>
      <c r="Q7" s="1" t="s">
        <v>440</v>
      </c>
      <c r="U7" s="1" t="s">
        <v>446</v>
      </c>
    </row>
    <row r="8" spans="1:31">
      <c r="F8" s="1" t="s">
        <v>436</v>
      </c>
      <c r="Q8" s="1" t="s">
        <v>441</v>
      </c>
      <c r="U8" s="1" t="s">
        <v>447</v>
      </c>
    </row>
    <row r="10" spans="1:31">
      <c r="F10" s="1" t="s">
        <v>437</v>
      </c>
      <c r="Q10" s="1" t="s">
        <v>442</v>
      </c>
    </row>
    <row r="11" spans="1:31">
      <c r="F11" s="1" t="s">
        <v>438</v>
      </c>
      <c r="Q11" s="1" t="s">
        <v>443</v>
      </c>
    </row>
    <row r="13" spans="1:31">
      <c r="F13" s="1" t="s">
        <v>389</v>
      </c>
      <c r="Q13" s="1" t="s">
        <v>444</v>
      </c>
    </row>
    <row r="14" spans="1:31">
      <c r="F14" s="1" t="s">
        <v>439</v>
      </c>
      <c r="Q14" s="1" t="s">
        <v>445</v>
      </c>
    </row>
    <row r="16" spans="1:31">
      <c r="A16" s="265" t="s">
        <v>3</v>
      </c>
      <c r="B16" s="265"/>
      <c r="C16" s="265"/>
      <c r="D16" s="265"/>
      <c r="E16" s="265"/>
      <c r="F16" s="265"/>
      <c r="G16" s="265"/>
      <c r="H16" s="9">
        <f>AVERAGE(1.32,1.35,1.34)</f>
        <v>1.3366666666666667</v>
      </c>
      <c r="I16" s="266"/>
      <c r="J16" s="266"/>
      <c r="K16" s="266"/>
      <c r="L16" s="266"/>
      <c r="M16" s="266"/>
      <c r="N16" s="266"/>
      <c r="O16" s="266"/>
      <c r="Q16" s="265" t="s">
        <v>305</v>
      </c>
      <c r="R16" s="265"/>
      <c r="S16" s="265"/>
      <c r="T16" s="57">
        <f>AVERAGE(1.36,1.38,1.37)</f>
        <v>1.37</v>
      </c>
      <c r="U16" s="264"/>
      <c r="V16" s="264"/>
      <c r="W16" s="264"/>
    </row>
    <row r="18" spans="1:27" ht="19" customHeight="1">
      <c r="A18" s="16"/>
      <c r="B18" s="16"/>
      <c r="C18" s="16"/>
      <c r="D18" s="16"/>
      <c r="E18" s="16"/>
      <c r="F18" s="16"/>
      <c r="G18" s="79" t="s">
        <v>39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>
      <c r="A19" s="2"/>
      <c r="B19" s="5" t="s">
        <v>6</v>
      </c>
      <c r="C19" s="2"/>
      <c r="E19" s="2"/>
      <c r="F19" s="5" t="s">
        <v>7</v>
      </c>
      <c r="G19" s="2"/>
      <c r="I19" s="2"/>
      <c r="J19" s="5" t="s">
        <v>40</v>
      </c>
      <c r="K19" s="2"/>
      <c r="M19" s="2"/>
      <c r="N19" s="5" t="s">
        <v>169</v>
      </c>
      <c r="O19" s="2"/>
      <c r="Q19" s="2"/>
      <c r="R19" s="5" t="s">
        <v>220</v>
      </c>
      <c r="S19" s="2"/>
      <c r="U19" s="2"/>
      <c r="V19" s="5" t="s">
        <v>424</v>
      </c>
      <c r="W19" s="2"/>
      <c r="Y19" s="2"/>
      <c r="Z19" s="5" t="s">
        <v>469</v>
      </c>
      <c r="AA19" s="2"/>
    </row>
    <row r="20" spans="1:27">
      <c r="A20" s="1" t="s">
        <v>298</v>
      </c>
      <c r="E20" s="1" t="s">
        <v>451</v>
      </c>
      <c r="I20" s="1" t="s">
        <v>394</v>
      </c>
      <c r="M20" s="1" t="s">
        <v>460</v>
      </c>
      <c r="Q20" s="1" t="s">
        <v>268</v>
      </c>
      <c r="U20" s="1" t="s">
        <v>465</v>
      </c>
      <c r="Y20" s="1" t="s">
        <v>99</v>
      </c>
    </row>
    <row r="21" spans="1:27">
      <c r="A21" s="1" t="s">
        <v>75</v>
      </c>
      <c r="E21" s="1" t="s">
        <v>452</v>
      </c>
      <c r="I21" s="1" t="s">
        <v>457</v>
      </c>
      <c r="M21" s="1" t="s">
        <v>241</v>
      </c>
      <c r="Q21" s="1" t="s">
        <v>116</v>
      </c>
      <c r="U21" s="1" t="s">
        <v>466</v>
      </c>
      <c r="Y21" s="1" t="s">
        <v>261</v>
      </c>
    </row>
    <row r="23" spans="1:27">
      <c r="A23" s="1" t="s">
        <v>448</v>
      </c>
      <c r="E23" s="1" t="s">
        <v>453</v>
      </c>
      <c r="I23" s="1" t="s">
        <v>458</v>
      </c>
      <c r="M23" s="1" t="s">
        <v>461</v>
      </c>
      <c r="Q23" s="1" t="s">
        <v>464</v>
      </c>
      <c r="U23" s="1" t="s">
        <v>467</v>
      </c>
      <c r="Y23" s="1" t="s">
        <v>470</v>
      </c>
    </row>
    <row r="24" spans="1:27">
      <c r="A24" s="1" t="s">
        <v>449</v>
      </c>
      <c r="E24" s="1" t="s">
        <v>253</v>
      </c>
      <c r="I24" s="1" t="s">
        <v>338</v>
      </c>
      <c r="M24" s="1" t="s">
        <v>462</v>
      </c>
      <c r="Q24" s="1" t="s">
        <v>279</v>
      </c>
      <c r="U24" s="1" t="s">
        <v>468</v>
      </c>
      <c r="Y24" s="1" t="s">
        <v>261</v>
      </c>
    </row>
    <row r="25" spans="1:27">
      <c r="E25" s="1" t="s">
        <v>454</v>
      </c>
    </row>
    <row r="26" spans="1:27">
      <c r="A26" s="1" t="s">
        <v>250</v>
      </c>
      <c r="E26" s="1" t="s">
        <v>455</v>
      </c>
      <c r="I26" s="1" t="s">
        <v>459</v>
      </c>
      <c r="M26" s="1" t="s">
        <v>463</v>
      </c>
      <c r="Q26" s="1" t="s">
        <v>250</v>
      </c>
      <c r="U26" s="1" t="s">
        <v>244</v>
      </c>
      <c r="Y26" s="1" t="s">
        <v>97</v>
      </c>
    </row>
    <row r="27" spans="1:27">
      <c r="A27" s="1" t="s">
        <v>450</v>
      </c>
      <c r="E27" s="1" t="s">
        <v>456</v>
      </c>
      <c r="I27" s="1" t="s">
        <v>338</v>
      </c>
      <c r="M27" s="1" t="s">
        <v>245</v>
      </c>
      <c r="Q27" s="1" t="s">
        <v>301</v>
      </c>
      <c r="U27" s="1" t="s">
        <v>466</v>
      </c>
      <c r="Y27" s="1" t="s">
        <v>261</v>
      </c>
    </row>
    <row r="28" spans="1:27">
      <c r="E28" s="1" t="s">
        <v>249</v>
      </c>
    </row>
    <row r="29" spans="1:27">
      <c r="A29" s="34" t="s">
        <v>3</v>
      </c>
      <c r="B29" s="35">
        <f>AVERAGE(0.84,0.89,0.83)</f>
        <v>0.85333333333333339</v>
      </c>
      <c r="C29" s="18"/>
      <c r="E29" s="34" t="s">
        <v>3</v>
      </c>
      <c r="F29" s="35">
        <f>AVERAGE(0.71,0.72,0.71)</f>
        <v>0.71333333333333326</v>
      </c>
      <c r="G29" s="18"/>
      <c r="I29" s="34" t="s">
        <v>3</v>
      </c>
      <c r="J29" s="35">
        <f>AVERAGE(0.75,0.78,0.78)</f>
        <v>0.77</v>
      </c>
      <c r="K29" s="18"/>
      <c r="M29" s="34" t="s">
        <v>3</v>
      </c>
      <c r="N29" s="35">
        <f>AVERAGE(0.68,0.68,0.66)</f>
        <v>0.67333333333333334</v>
      </c>
      <c r="O29" s="18"/>
      <c r="Q29" s="34" t="s">
        <v>3</v>
      </c>
      <c r="R29" s="35">
        <f>AVERAGE(0.74,0.74,0.74)</f>
        <v>0.73999999999999988</v>
      </c>
      <c r="S29" s="18"/>
      <c r="U29" s="34" t="s">
        <v>3</v>
      </c>
      <c r="V29" s="35">
        <f>AVERAGE(0.64,0.63,0.64)</f>
        <v>0.63666666666666671</v>
      </c>
      <c r="W29" s="18"/>
      <c r="Y29" s="34" t="s">
        <v>3</v>
      </c>
      <c r="Z29" s="35">
        <f>AVERAGE(0.71,0.71,0.71)</f>
        <v>0.71</v>
      </c>
      <c r="AA29" s="18"/>
    </row>
    <row r="31" spans="1:27" s="80" customFormat="1" ht="24">
      <c r="G31" s="81" t="s">
        <v>39</v>
      </c>
      <c r="J31" s="82" t="s">
        <v>543</v>
      </c>
    </row>
    <row r="32" spans="1:27">
      <c r="A32" s="2"/>
      <c r="B32" s="5" t="s">
        <v>6</v>
      </c>
      <c r="C32" s="2"/>
      <c r="E32" s="2"/>
      <c r="F32" s="5" t="s">
        <v>7</v>
      </c>
      <c r="G32" s="2"/>
      <c r="I32" s="2"/>
      <c r="J32" s="5" t="s">
        <v>40</v>
      </c>
      <c r="K32" s="2"/>
      <c r="M32" s="2"/>
      <c r="N32" s="5" t="s">
        <v>169</v>
      </c>
      <c r="O32" s="2"/>
      <c r="Q32" s="2"/>
      <c r="R32" s="5" t="s">
        <v>220</v>
      </c>
      <c r="S32" s="2"/>
      <c r="U32" s="2"/>
      <c r="V32" s="5" t="s">
        <v>424</v>
      </c>
      <c r="W32" s="2"/>
      <c r="Y32" s="2"/>
      <c r="Z32" s="5" t="s">
        <v>469</v>
      </c>
      <c r="AA32" s="2"/>
    </row>
    <row r="33" spans="1:27">
      <c r="A33" s="1" t="s">
        <v>199</v>
      </c>
      <c r="E33" s="1" t="s">
        <v>495</v>
      </c>
      <c r="I33" s="1" t="s">
        <v>340</v>
      </c>
      <c r="M33" s="1" t="s">
        <v>494</v>
      </c>
      <c r="Q33" s="1" t="s">
        <v>509</v>
      </c>
      <c r="U33" s="1" t="s">
        <v>506</v>
      </c>
      <c r="Y33" s="1" t="s">
        <v>227</v>
      </c>
    </row>
    <row r="34" spans="1:27">
      <c r="A34" s="1" t="s">
        <v>492</v>
      </c>
      <c r="E34" s="1" t="s">
        <v>496</v>
      </c>
      <c r="I34" s="1" t="s">
        <v>496</v>
      </c>
      <c r="M34" s="1" t="s">
        <v>503</v>
      </c>
      <c r="Q34" s="1" t="s">
        <v>510</v>
      </c>
      <c r="U34" s="1" t="s">
        <v>226</v>
      </c>
      <c r="Y34" s="1" t="s">
        <v>514</v>
      </c>
    </row>
    <row r="36" spans="1:27">
      <c r="A36" s="1" t="s">
        <v>493</v>
      </c>
      <c r="E36" s="1" t="s">
        <v>287</v>
      </c>
      <c r="I36" s="1" t="s">
        <v>500</v>
      </c>
      <c r="M36" s="1" t="s">
        <v>44</v>
      </c>
      <c r="Q36" s="1" t="s">
        <v>511</v>
      </c>
      <c r="U36" s="1" t="s">
        <v>507</v>
      </c>
      <c r="Y36" s="1" t="s">
        <v>515</v>
      </c>
    </row>
    <row r="37" spans="1:27">
      <c r="A37" s="1" t="s">
        <v>168</v>
      </c>
      <c r="E37" s="1" t="s">
        <v>497</v>
      </c>
      <c r="I37" s="1" t="s">
        <v>89</v>
      </c>
      <c r="M37" s="1" t="s">
        <v>504</v>
      </c>
      <c r="Q37" s="1" t="s">
        <v>512</v>
      </c>
      <c r="U37" s="1" t="s">
        <v>450</v>
      </c>
      <c r="Y37" s="1" t="s">
        <v>516</v>
      </c>
    </row>
    <row r="39" spans="1:27">
      <c r="A39" s="1" t="s">
        <v>494</v>
      </c>
      <c r="E39" s="1" t="s">
        <v>498</v>
      </c>
      <c r="I39" s="1" t="s">
        <v>501</v>
      </c>
      <c r="M39" s="1" t="s">
        <v>105</v>
      </c>
      <c r="Q39" s="1" t="s">
        <v>513</v>
      </c>
      <c r="U39" s="1" t="s">
        <v>277</v>
      </c>
      <c r="Y39" s="1" t="s">
        <v>292</v>
      </c>
    </row>
    <row r="40" spans="1:27">
      <c r="A40" s="1" t="s">
        <v>168</v>
      </c>
      <c r="E40" s="1" t="s">
        <v>499</v>
      </c>
      <c r="I40" s="1" t="s">
        <v>502</v>
      </c>
      <c r="M40" s="1" t="s">
        <v>505</v>
      </c>
      <c r="Q40" s="1" t="s">
        <v>512</v>
      </c>
      <c r="U40" s="1" t="s">
        <v>508</v>
      </c>
      <c r="Y40" s="1" t="s">
        <v>73</v>
      </c>
    </row>
    <row r="42" spans="1:27">
      <c r="A42" s="34" t="s">
        <v>3</v>
      </c>
      <c r="B42" s="71">
        <f>AVERAGE(1.13,1.17,1.17)</f>
        <v>1.1566666666666665</v>
      </c>
      <c r="C42" s="18"/>
      <c r="E42" s="34" t="s">
        <v>3</v>
      </c>
      <c r="F42" s="71">
        <f>AVERAGE(1.06,1.11,1.11)</f>
        <v>1.0933333333333335</v>
      </c>
      <c r="G42" s="18"/>
      <c r="I42" s="34" t="s">
        <v>3</v>
      </c>
      <c r="J42" s="71">
        <f>AVERAGE(1.06,1.04,1.05)</f>
        <v>1.05</v>
      </c>
      <c r="K42" s="18"/>
      <c r="M42" s="34" t="s">
        <v>3</v>
      </c>
      <c r="N42" s="71">
        <f>AVERAGE(0.91,1,0.99)</f>
        <v>0.96666666666666679</v>
      </c>
      <c r="O42" s="18"/>
      <c r="Q42" s="34" t="s">
        <v>3</v>
      </c>
      <c r="R42" s="71">
        <f>AVERAGE(0.98,0.93,0.93)</f>
        <v>0.94666666666666677</v>
      </c>
      <c r="S42" s="18"/>
      <c r="U42" s="34" t="s">
        <v>3</v>
      </c>
      <c r="V42" s="71">
        <f>AVERAGE(0.82,0.83,0.86)</f>
        <v>0.83666666666666656</v>
      </c>
      <c r="W42" s="18"/>
      <c r="Y42" s="34" t="s">
        <v>3</v>
      </c>
      <c r="Z42" s="71">
        <f>AVERAGE(0.89,0.92,0.93)</f>
        <v>0.91333333333333344</v>
      </c>
      <c r="AA42" s="18"/>
    </row>
    <row r="44" spans="1:27" s="72" customFormat="1">
      <c r="B44" s="73">
        <f>B42-B29</f>
        <v>0.30333333333333312</v>
      </c>
      <c r="F44" s="73">
        <f>F42-F29</f>
        <v>0.38000000000000023</v>
      </c>
      <c r="J44" s="73">
        <f>J42-J29</f>
        <v>0.28000000000000003</v>
      </c>
      <c r="N44" s="73">
        <f>N42-N29</f>
        <v>0.29333333333333345</v>
      </c>
      <c r="R44" s="73">
        <f>R42-R29</f>
        <v>0.20666666666666689</v>
      </c>
      <c r="V44" s="73">
        <f>V42-V29</f>
        <v>0.19999999999999984</v>
      </c>
      <c r="Z44" s="73">
        <f>Z42-Z29</f>
        <v>0.20333333333333348</v>
      </c>
    </row>
    <row r="46" spans="1:27" s="85" customFormat="1" ht="24">
      <c r="A46" s="83"/>
      <c r="B46" s="83"/>
      <c r="C46" s="83"/>
      <c r="D46" s="83"/>
      <c r="E46" s="83"/>
      <c r="F46" s="83"/>
      <c r="G46" s="79" t="s">
        <v>39</v>
      </c>
      <c r="H46" s="83"/>
      <c r="I46" s="83"/>
      <c r="J46" s="84" t="s">
        <v>544</v>
      </c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  <c r="AA46" s="83"/>
    </row>
    <row r="47" spans="1:27">
      <c r="A47" s="2"/>
      <c r="B47" s="5" t="s">
        <v>6</v>
      </c>
      <c r="C47" s="2"/>
      <c r="E47" s="2"/>
      <c r="F47" s="5" t="s">
        <v>7</v>
      </c>
      <c r="G47" s="2"/>
      <c r="I47" s="2"/>
      <c r="J47" s="5" t="s">
        <v>40</v>
      </c>
      <c r="K47" s="2"/>
      <c r="M47" s="2"/>
      <c r="N47" s="5" t="s">
        <v>169</v>
      </c>
      <c r="O47" s="2"/>
      <c r="Q47" s="2"/>
      <c r="R47" s="5" t="s">
        <v>220</v>
      </c>
      <c r="S47" s="2"/>
      <c r="U47" s="2"/>
      <c r="V47" s="5" t="s">
        <v>424</v>
      </c>
      <c r="W47" s="2"/>
      <c r="Y47" s="2"/>
      <c r="Z47" s="5" t="s">
        <v>469</v>
      </c>
      <c r="AA47" s="2"/>
    </row>
    <row r="48" spans="1:27">
      <c r="A48" s="1" t="s">
        <v>546</v>
      </c>
      <c r="E48" s="1" t="s">
        <v>275</v>
      </c>
      <c r="I48" s="1" t="s">
        <v>552</v>
      </c>
      <c r="M48" s="1" t="s">
        <v>229</v>
      </c>
      <c r="Q48" s="1" t="s">
        <v>102</v>
      </c>
      <c r="U48" s="1" t="s">
        <v>562</v>
      </c>
      <c r="Y48" s="1" t="s">
        <v>565</v>
      </c>
    </row>
    <row r="49" spans="1:27">
      <c r="A49" s="1" t="s">
        <v>547</v>
      </c>
      <c r="E49" s="1" t="s">
        <v>549</v>
      </c>
      <c r="I49" s="1" t="s">
        <v>87</v>
      </c>
      <c r="M49" s="1" t="s">
        <v>556</v>
      </c>
      <c r="Q49" s="1" t="s">
        <v>420</v>
      </c>
      <c r="U49" s="1" t="s">
        <v>549</v>
      </c>
      <c r="Y49" s="1" t="s">
        <v>566</v>
      </c>
    </row>
    <row r="51" spans="1:27">
      <c r="A51" s="1" t="s">
        <v>114</v>
      </c>
      <c r="E51" s="1" t="s">
        <v>550</v>
      </c>
      <c r="I51" s="1" t="s">
        <v>553</v>
      </c>
      <c r="M51" s="1" t="s">
        <v>296</v>
      </c>
      <c r="Q51" s="1" t="s">
        <v>559</v>
      </c>
      <c r="U51" s="1" t="s">
        <v>500</v>
      </c>
      <c r="Y51" s="1" t="s">
        <v>408</v>
      </c>
    </row>
    <row r="52" spans="1:27">
      <c r="A52" s="1" t="s">
        <v>548</v>
      </c>
      <c r="E52" s="1" t="s">
        <v>549</v>
      </c>
      <c r="I52" s="1" t="s">
        <v>505</v>
      </c>
      <c r="M52" s="1" t="s">
        <v>512</v>
      </c>
      <c r="Q52" s="1" t="s">
        <v>560</v>
      </c>
      <c r="U52" s="1" t="s">
        <v>549</v>
      </c>
      <c r="Y52" s="1" t="s">
        <v>568</v>
      </c>
    </row>
    <row r="54" spans="1:27">
      <c r="A54" s="1" t="s">
        <v>444</v>
      </c>
      <c r="E54" s="1" t="s">
        <v>460</v>
      </c>
      <c r="I54" s="1" t="s">
        <v>554</v>
      </c>
      <c r="M54" s="1" t="s">
        <v>557</v>
      </c>
      <c r="Q54" s="1" t="s">
        <v>561</v>
      </c>
      <c r="U54" s="1" t="s">
        <v>563</v>
      </c>
      <c r="Y54" s="1" t="s">
        <v>567</v>
      </c>
    </row>
    <row r="55" spans="1:27">
      <c r="A55" s="1" t="s">
        <v>548</v>
      </c>
      <c r="E55" s="1" t="s">
        <v>551</v>
      </c>
      <c r="I55" s="1" t="s">
        <v>555</v>
      </c>
      <c r="M55" s="1" t="s">
        <v>558</v>
      </c>
      <c r="Q55" s="1" t="s">
        <v>510</v>
      </c>
      <c r="U55" s="1" t="s">
        <v>564</v>
      </c>
      <c r="Y55" s="1" t="s">
        <v>560</v>
      </c>
    </row>
    <row r="57" spans="1:27">
      <c r="A57" s="34" t="s">
        <v>3</v>
      </c>
      <c r="B57" s="71">
        <f>AVERAGE(1.12,1.11,1.11)</f>
        <v>1.1133333333333335</v>
      </c>
      <c r="C57" s="18"/>
      <c r="E57" s="34" t="s">
        <v>3</v>
      </c>
      <c r="F57" s="71">
        <f>AVERAGE(0.97,0.97,0.98)</f>
        <v>0.97333333333333327</v>
      </c>
      <c r="G57" s="18"/>
      <c r="I57" s="34" t="s">
        <v>3</v>
      </c>
      <c r="J57" s="71">
        <f>AVERAGE(1.03,0.99,1.02)</f>
        <v>1.0133333333333334</v>
      </c>
      <c r="K57" s="18"/>
      <c r="M57" s="34" t="s">
        <v>3</v>
      </c>
      <c r="N57" s="71">
        <f>AVERAGE(0.96,0.93,0.95)</f>
        <v>0.94666666666666666</v>
      </c>
      <c r="O57" s="18"/>
      <c r="Q57" s="34" t="s">
        <v>3</v>
      </c>
      <c r="R57" s="71">
        <f>AVERAGE(0.97,1.04,0.98)</f>
        <v>0.99666666666666659</v>
      </c>
      <c r="S57" s="18"/>
      <c r="U57" s="34" t="s">
        <v>3</v>
      </c>
      <c r="V57" s="71">
        <f>AVERAGE(0.97,0.97,0.94)</f>
        <v>0.96</v>
      </c>
      <c r="W57" s="18"/>
      <c r="Y57" s="34" t="s">
        <v>3</v>
      </c>
      <c r="Z57" s="71">
        <f>AVERAGE(1.07,1.01,1.04)</f>
        <v>1.04</v>
      </c>
      <c r="AA57" s="18"/>
    </row>
    <row r="58" spans="1:27" s="192" customFormat="1">
      <c r="A58" s="192" t="s">
        <v>995</v>
      </c>
      <c r="B58" s="192">
        <f>_xlfn.STDEV.S(0.006,0.006,0.009)</f>
        <v>1.7320508075688767E-3</v>
      </c>
      <c r="E58" s="192" t="s">
        <v>995</v>
      </c>
      <c r="F58" s="193">
        <f>_xlfn.STDEV.S(0.007,0.007,0.007)</f>
        <v>0</v>
      </c>
      <c r="I58" s="192" t="s">
        <v>995</v>
      </c>
      <c r="J58" s="193">
        <f>_xlfn.STDEV.S(0.006,0.006,0.007)</f>
        <v>5.773502691896258E-4</v>
      </c>
      <c r="M58" s="192" t="s">
        <v>995</v>
      </c>
      <c r="N58" s="192">
        <f>_xlfn.STDEV.S(0.006,0.007,0.008)</f>
        <v>1E-3</v>
      </c>
      <c r="Q58" s="192" t="s">
        <v>995</v>
      </c>
      <c r="R58" s="194">
        <f>_xlfn.STDEV.S(0.006,0.006,0.006)</f>
        <v>1.0622968402425924E-18</v>
      </c>
      <c r="U58" s="192" t="s">
        <v>995</v>
      </c>
      <c r="V58" s="194">
        <f>_xlfn.STDEV.S(0.007,0.007,0.007)</f>
        <v>0</v>
      </c>
      <c r="Y58" s="192" t="s">
        <v>995</v>
      </c>
      <c r="Z58" s="193">
        <f>_xlfn.STDEV.S(0.006,0.006,0.007)</f>
        <v>5.773502691896258E-4</v>
      </c>
    </row>
    <row r="59" spans="1:27" s="72" customFormat="1">
      <c r="B59" s="73">
        <f>B57-B44</f>
        <v>0.81000000000000039</v>
      </c>
      <c r="F59" s="73">
        <f>F57-F44</f>
        <v>0.59333333333333305</v>
      </c>
      <c r="J59" s="73">
        <f>J57-J44</f>
        <v>0.73333333333333339</v>
      </c>
      <c r="N59" s="73">
        <f>N57-N44</f>
        <v>0.65333333333333321</v>
      </c>
      <c r="R59" s="73">
        <f>R57-R44</f>
        <v>0.7899999999999997</v>
      </c>
      <c r="V59" s="73">
        <f>V57-V44</f>
        <v>0.76000000000000012</v>
      </c>
      <c r="Z59" s="73">
        <f>Z57-Z44</f>
        <v>0.83666666666666656</v>
      </c>
    </row>
    <row r="64" spans="1:27" ht="16">
      <c r="C64" s="261" t="s">
        <v>428</v>
      </c>
      <c r="D64" s="261"/>
      <c r="E64" s="261"/>
      <c r="F64" s="261"/>
      <c r="G64" s="261"/>
      <c r="H64" s="262"/>
      <c r="I64" s="61">
        <v>0.35</v>
      </c>
      <c r="J64" s="61">
        <v>0.5</v>
      </c>
      <c r="K64" s="61">
        <v>0.7</v>
      </c>
      <c r="L64" s="61">
        <v>0.9</v>
      </c>
      <c r="M64" s="61">
        <v>1.5</v>
      </c>
      <c r="N64" s="61">
        <v>2</v>
      </c>
      <c r="O64" s="61">
        <v>7</v>
      </c>
    </row>
    <row r="65" spans="3:15" ht="16">
      <c r="C65" s="259" t="s">
        <v>517</v>
      </c>
      <c r="D65" s="259"/>
      <c r="E65" s="259"/>
      <c r="F65" s="259"/>
      <c r="G65" s="259"/>
      <c r="H65" s="260"/>
      <c r="I65" s="86">
        <v>0.85</v>
      </c>
      <c r="J65" s="86">
        <v>0.71</v>
      </c>
      <c r="K65" s="86">
        <v>0.77</v>
      </c>
      <c r="L65" s="86">
        <v>0.67</v>
      </c>
      <c r="M65" s="86">
        <v>0.74</v>
      </c>
      <c r="N65" s="86">
        <v>0.64</v>
      </c>
      <c r="O65" s="86">
        <v>0.71</v>
      </c>
    </row>
    <row r="66" spans="3:15" ht="16">
      <c r="C66" s="261" t="s">
        <v>518</v>
      </c>
      <c r="D66" s="261"/>
      <c r="E66" s="261"/>
      <c r="F66" s="261"/>
      <c r="G66" s="261"/>
      <c r="H66" s="262"/>
      <c r="I66" s="53">
        <v>1.1599999999999999</v>
      </c>
      <c r="J66" s="53">
        <v>1.0900000000000001</v>
      </c>
      <c r="K66" s="53">
        <v>1.05</v>
      </c>
      <c r="L66" s="53">
        <v>0.97</v>
      </c>
      <c r="M66" s="53">
        <v>0.95</v>
      </c>
      <c r="N66" s="53">
        <v>0.84</v>
      </c>
      <c r="O66" s="53">
        <v>0.91</v>
      </c>
    </row>
    <row r="67" spans="3:15" ht="16">
      <c r="C67" s="259" t="s">
        <v>545</v>
      </c>
      <c r="D67" s="259"/>
      <c r="E67" s="259"/>
      <c r="F67" s="259"/>
      <c r="G67" s="259"/>
      <c r="H67" s="260"/>
      <c r="I67" s="86">
        <v>1.1100000000000001</v>
      </c>
      <c r="J67" s="86">
        <v>0.97</v>
      </c>
      <c r="K67" s="86">
        <v>1.01</v>
      </c>
      <c r="L67" s="86">
        <v>0.95</v>
      </c>
      <c r="M67" s="86">
        <v>1</v>
      </c>
      <c r="N67" s="86">
        <v>0.96</v>
      </c>
      <c r="O67" s="86">
        <v>1.04</v>
      </c>
    </row>
  </sheetData>
  <mergeCells count="13">
    <mergeCell ref="Q5:W5"/>
    <mergeCell ref="Q6:W6"/>
    <mergeCell ref="Q16:S16"/>
    <mergeCell ref="U16:W16"/>
    <mergeCell ref="A5:O5"/>
    <mergeCell ref="A6:O6"/>
    <mergeCell ref="A16:G16"/>
    <mergeCell ref="I16:O16"/>
    <mergeCell ref="I3:L3"/>
    <mergeCell ref="C67:H67"/>
    <mergeCell ref="C66:H66"/>
    <mergeCell ref="C65:H65"/>
    <mergeCell ref="C64:H64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30"/>
  <sheetViews>
    <sheetView zoomScale="70" zoomScaleNormal="70" workbookViewId="0">
      <selection activeCell="G1" sqref="G1:H1"/>
    </sheetView>
  </sheetViews>
  <sheetFormatPr baseColWidth="10" defaultColWidth="9.1640625" defaultRowHeight="15"/>
  <cols>
    <col min="1" max="1" width="9.6640625" style="1" bestFit="1" customWidth="1"/>
    <col min="2" max="4" width="9.1640625" style="1"/>
    <col min="5" max="5" width="13.5" style="1" bestFit="1" customWidth="1"/>
    <col min="6" max="6" width="9.1640625" style="1"/>
    <col min="7" max="7" width="11.5" style="1" customWidth="1"/>
    <col min="8" max="16" width="9.1640625" style="1"/>
    <col min="17" max="17" width="16" style="1" bestFit="1" customWidth="1"/>
    <col min="18" max="21" width="9.1640625" style="1"/>
    <col min="22" max="22" width="16" style="1" bestFit="1" customWidth="1"/>
    <col min="23" max="16384" width="9.1640625" style="1"/>
  </cols>
  <sheetData>
    <row r="1" spans="1:38" ht="16">
      <c r="A1" s="36" t="s">
        <v>433</v>
      </c>
      <c r="B1" s="4" t="s">
        <v>1</v>
      </c>
      <c r="C1" s="4"/>
      <c r="D1" s="4"/>
      <c r="E1" s="15">
        <v>45868</v>
      </c>
      <c r="G1" s="133" t="s">
        <v>762</v>
      </c>
      <c r="H1" s="133"/>
      <c r="K1" s="1" t="s">
        <v>33</v>
      </c>
    </row>
    <row r="2" spans="1:38">
      <c r="B2" s="48" t="s">
        <v>472</v>
      </c>
      <c r="C2" s="47"/>
      <c r="D2" s="47"/>
      <c r="E2" s="47"/>
      <c r="F2" s="47"/>
      <c r="G2" s="47"/>
      <c r="H2" s="47"/>
    </row>
    <row r="3" spans="1:38" ht="21">
      <c r="A3" s="16"/>
      <c r="B3" s="16"/>
      <c r="C3" s="16"/>
      <c r="D3" s="62"/>
      <c r="F3" s="19"/>
      <c r="G3" s="19"/>
      <c r="H3" s="19"/>
      <c r="I3" s="66"/>
      <c r="J3" s="19"/>
      <c r="K3" s="87" t="s">
        <v>583</v>
      </c>
      <c r="L3" s="19"/>
      <c r="M3" s="88">
        <f>1.31</f>
        <v>1.31</v>
      </c>
      <c r="N3" s="66"/>
      <c r="O3" s="19"/>
      <c r="P3" s="67" t="s">
        <v>39</v>
      </c>
      <c r="Q3" s="19"/>
      <c r="R3" s="19"/>
      <c r="S3" s="66"/>
      <c r="T3" s="66"/>
      <c r="U3" s="19"/>
      <c r="V3" s="19"/>
      <c r="W3" s="19"/>
      <c r="X3" s="66"/>
      <c r="Y3" s="66"/>
      <c r="Z3" s="87" t="s">
        <v>583</v>
      </c>
      <c r="AA3" s="19"/>
      <c r="AB3" s="88">
        <f>1.31</f>
        <v>1.31</v>
      </c>
      <c r="AE3" s="87"/>
      <c r="AF3" s="19"/>
      <c r="AG3" s="88"/>
      <c r="AJ3" s="87"/>
      <c r="AK3" s="19"/>
      <c r="AL3" s="88"/>
    </row>
    <row r="4" spans="1:38">
      <c r="A4" s="2"/>
      <c r="B4" s="5" t="s">
        <v>2</v>
      </c>
      <c r="C4" s="2"/>
      <c r="D4" s="62"/>
      <c r="F4" s="2"/>
      <c r="G4" s="5" t="s">
        <v>221</v>
      </c>
      <c r="H4" s="2"/>
      <c r="I4" s="51"/>
      <c r="K4" s="2"/>
      <c r="L4" s="5" t="s">
        <v>361</v>
      </c>
      <c r="M4" s="2"/>
      <c r="N4" s="51"/>
      <c r="P4" s="2"/>
      <c r="Q4" s="5" t="s">
        <v>473</v>
      </c>
      <c r="R4" s="2"/>
      <c r="S4" s="63"/>
      <c r="T4" s="51"/>
      <c r="U4" s="2"/>
      <c r="V4" s="5" t="s">
        <v>475</v>
      </c>
      <c r="W4" s="2"/>
      <c r="X4" s="51"/>
      <c r="Y4" s="51"/>
      <c r="Z4" s="2"/>
      <c r="AA4" s="5" t="s">
        <v>581</v>
      </c>
      <c r="AB4" s="2"/>
      <c r="AE4" s="2"/>
      <c r="AF4" s="5" t="s">
        <v>590</v>
      </c>
      <c r="AG4" s="2"/>
      <c r="AJ4" s="2"/>
      <c r="AK4" s="5" t="s">
        <v>591</v>
      </c>
      <c r="AL4" s="2"/>
    </row>
    <row r="5" spans="1:38">
      <c r="A5" s="1" t="s">
        <v>477</v>
      </c>
      <c r="F5" s="1" t="s">
        <v>580</v>
      </c>
      <c r="I5" s="51"/>
      <c r="K5" s="1" t="s">
        <v>260</v>
      </c>
      <c r="N5" s="51"/>
      <c r="P5" s="1" t="s">
        <v>575</v>
      </c>
      <c r="S5" s="51"/>
      <c r="T5" s="51"/>
      <c r="U5" s="1" t="s">
        <v>569</v>
      </c>
      <c r="X5" s="51"/>
      <c r="Y5" s="51"/>
      <c r="Z5" s="1" t="s">
        <v>588</v>
      </c>
    </row>
    <row r="6" spans="1:38">
      <c r="A6" s="1" t="s">
        <v>478</v>
      </c>
      <c r="F6" s="1" t="s">
        <v>570</v>
      </c>
      <c r="I6" s="51"/>
      <c r="K6" s="1" t="s">
        <v>587</v>
      </c>
      <c r="N6" s="51"/>
      <c r="P6" s="1" t="s">
        <v>576</v>
      </c>
      <c r="S6" s="51"/>
      <c r="T6" s="51"/>
      <c r="U6" s="1" t="s">
        <v>570</v>
      </c>
      <c r="X6" s="51"/>
      <c r="Y6" s="51"/>
      <c r="Z6" s="1" t="s">
        <v>589</v>
      </c>
    </row>
    <row r="7" spans="1:38">
      <c r="I7" s="51"/>
      <c r="N7" s="51"/>
      <c r="S7" s="51"/>
      <c r="T7" s="51"/>
      <c r="X7" s="51"/>
      <c r="Y7" s="51"/>
    </row>
    <row r="8" spans="1:38">
      <c r="A8" s="1" t="s">
        <v>479</v>
      </c>
      <c r="I8" s="51"/>
      <c r="K8" s="1" t="s">
        <v>446</v>
      </c>
      <c r="N8" s="51"/>
      <c r="P8" s="1" t="s">
        <v>577</v>
      </c>
      <c r="S8" s="51"/>
      <c r="T8" s="51"/>
      <c r="U8" s="1" t="s">
        <v>571</v>
      </c>
      <c r="X8" s="51"/>
      <c r="Y8" s="51"/>
      <c r="Z8" s="1" t="s">
        <v>335</v>
      </c>
    </row>
    <row r="9" spans="1:38">
      <c r="A9" s="1" t="s">
        <v>480</v>
      </c>
      <c r="I9" s="51"/>
      <c r="K9" s="1" t="s">
        <v>338</v>
      </c>
      <c r="N9" s="51"/>
      <c r="P9" s="1" t="s">
        <v>539</v>
      </c>
      <c r="S9" s="51"/>
      <c r="T9" s="51"/>
      <c r="U9" s="1" t="s">
        <v>572</v>
      </c>
      <c r="X9" s="51"/>
      <c r="Y9" s="51"/>
      <c r="Z9" s="1" t="s">
        <v>151</v>
      </c>
    </row>
    <row r="10" spans="1:38">
      <c r="I10" s="51"/>
      <c r="N10" s="51"/>
      <c r="S10" s="51"/>
      <c r="T10" s="51"/>
      <c r="X10" s="51"/>
      <c r="Y10" s="51"/>
    </row>
    <row r="11" spans="1:38">
      <c r="A11" s="1" t="s">
        <v>481</v>
      </c>
      <c r="I11" s="51"/>
      <c r="K11" s="1" t="s">
        <v>410</v>
      </c>
      <c r="N11" s="51"/>
      <c r="P11" s="1" t="s">
        <v>578</v>
      </c>
      <c r="S11" s="51"/>
      <c r="T11" s="51"/>
      <c r="U11" s="1" t="s">
        <v>573</v>
      </c>
      <c r="X11" s="51"/>
      <c r="Y11" s="51"/>
      <c r="Z11" s="1" t="s">
        <v>403</v>
      </c>
    </row>
    <row r="12" spans="1:38">
      <c r="A12" s="1" t="s">
        <v>482</v>
      </c>
      <c r="I12" s="51"/>
      <c r="K12" s="1" t="s">
        <v>407</v>
      </c>
      <c r="N12" s="51"/>
      <c r="P12" s="1" t="s">
        <v>579</v>
      </c>
      <c r="S12" s="51"/>
      <c r="T12" s="51"/>
      <c r="U12" s="1" t="s">
        <v>574</v>
      </c>
      <c r="X12" s="51"/>
      <c r="Y12" s="51"/>
      <c r="Z12" s="1" t="s">
        <v>151</v>
      </c>
    </row>
    <row r="13" spans="1:38">
      <c r="I13" s="51"/>
      <c r="N13" s="51"/>
      <c r="S13" s="51"/>
      <c r="T13" s="51"/>
      <c r="X13" s="51"/>
      <c r="Y13" s="51"/>
    </row>
    <row r="14" spans="1:38">
      <c r="A14" s="1" t="s">
        <v>483</v>
      </c>
      <c r="F14" s="3" t="s">
        <v>3</v>
      </c>
      <c r="G14" s="9">
        <v>0.73</v>
      </c>
      <c r="H14" s="2"/>
      <c r="I14" s="51"/>
      <c r="K14" s="3" t="s">
        <v>3</v>
      </c>
      <c r="L14" s="9">
        <f>AVERAGE(0.77,0.78,0.79)</f>
        <v>0.77999999999999992</v>
      </c>
      <c r="M14" s="2"/>
      <c r="N14" s="64"/>
      <c r="P14" s="3" t="s">
        <v>3</v>
      </c>
      <c r="Q14" s="9">
        <f>AVERAGE(0.69,0.68,0.67)</f>
        <v>0.68</v>
      </c>
      <c r="R14" s="2"/>
      <c r="S14" s="65"/>
      <c r="T14" s="51"/>
      <c r="U14" s="3" t="s">
        <v>3</v>
      </c>
      <c r="V14" s="9">
        <f>AVERAGE(0.73,0.72,0.73)</f>
        <v>0.72666666666666657</v>
      </c>
      <c r="W14" s="2"/>
      <c r="X14" s="51"/>
      <c r="Y14" s="51"/>
      <c r="Z14" s="3" t="s">
        <v>3</v>
      </c>
      <c r="AA14" s="9">
        <f>AVERAGE(0.84,0.83,0.83)</f>
        <v>0.83333333333333337</v>
      </c>
      <c r="AB14" s="2"/>
      <c r="AE14" s="3" t="s">
        <v>3</v>
      </c>
      <c r="AF14" s="9">
        <f>AVERAGE(0.84,0.83,0.83)</f>
        <v>0.83333333333333337</v>
      </c>
      <c r="AG14" s="2"/>
      <c r="AJ14" s="3" t="s">
        <v>3</v>
      </c>
      <c r="AK14" s="9">
        <f>AVERAGE(0.84,0.83,0.83)</f>
        <v>0.83333333333333337</v>
      </c>
      <c r="AL14" s="2"/>
    </row>
    <row r="15" spans="1:38">
      <c r="A15" s="1" t="s">
        <v>482</v>
      </c>
      <c r="I15" s="51"/>
      <c r="N15" s="51"/>
      <c r="S15" s="51"/>
      <c r="T15" s="51"/>
      <c r="X15" s="51"/>
      <c r="Y15" s="51"/>
    </row>
    <row r="16" spans="1:38" ht="21">
      <c r="A16" s="3" t="s">
        <v>3</v>
      </c>
      <c r="B16" s="9">
        <f>AVERAGE(1.6,1.61,1.62,1.62)</f>
        <v>1.6125</v>
      </c>
      <c r="C16" s="2"/>
      <c r="E16" s="51"/>
      <c r="F16" s="68"/>
      <c r="G16" s="68"/>
      <c r="H16" s="68"/>
      <c r="I16" s="69"/>
      <c r="J16" s="68"/>
      <c r="K16" s="70" t="s">
        <v>606</v>
      </c>
      <c r="L16" s="68"/>
      <c r="M16" s="68"/>
      <c r="N16" s="69"/>
      <c r="O16" s="68"/>
      <c r="P16" s="68"/>
      <c r="Q16" s="68"/>
      <c r="R16" s="68"/>
      <c r="S16" s="69"/>
      <c r="T16" s="69"/>
      <c r="U16" s="68"/>
      <c r="V16" s="68"/>
      <c r="W16" s="68"/>
      <c r="X16" s="69"/>
      <c r="Y16" s="69"/>
      <c r="Z16" s="68"/>
      <c r="AA16" s="68"/>
      <c r="AB16" s="68"/>
      <c r="AE16" s="68"/>
      <c r="AF16" s="68"/>
      <c r="AG16" s="68"/>
      <c r="AJ16" s="68"/>
      <c r="AK16" s="68"/>
      <c r="AL16" s="68"/>
    </row>
    <row r="17" spans="1:38">
      <c r="F17" s="2"/>
      <c r="G17" s="5" t="s">
        <v>222</v>
      </c>
      <c r="H17" s="2"/>
      <c r="I17" s="51"/>
      <c r="K17" s="2"/>
      <c r="L17" s="5" t="s">
        <v>360</v>
      </c>
      <c r="M17" s="2"/>
      <c r="N17" s="51"/>
      <c r="P17" s="2"/>
      <c r="Q17" s="5" t="s">
        <v>474</v>
      </c>
      <c r="R17" s="2"/>
      <c r="S17" s="63"/>
      <c r="T17" s="51"/>
      <c r="U17" s="2"/>
      <c r="V17" s="5" t="s">
        <v>476</v>
      </c>
      <c r="W17" s="2"/>
      <c r="X17" s="51"/>
      <c r="Y17" s="51"/>
      <c r="Z17" s="2"/>
      <c r="AA17" s="5" t="s">
        <v>582</v>
      </c>
      <c r="AB17" s="2"/>
      <c r="AE17" s="2"/>
      <c r="AF17" s="5" t="s">
        <v>604</v>
      </c>
      <c r="AG17" s="2"/>
      <c r="AJ17" s="2"/>
      <c r="AK17" s="5" t="s">
        <v>605</v>
      </c>
      <c r="AL17" s="2"/>
    </row>
    <row r="18" spans="1:38">
      <c r="F18" s="1" t="s">
        <v>592</v>
      </c>
      <c r="I18" s="51"/>
      <c r="K18" s="1" t="s">
        <v>283</v>
      </c>
      <c r="N18" s="51"/>
      <c r="P18" s="1" t="s">
        <v>597</v>
      </c>
      <c r="S18" s="51"/>
      <c r="T18" s="51"/>
      <c r="U18" s="1" t="s">
        <v>601</v>
      </c>
      <c r="X18" s="51"/>
      <c r="Y18" s="51"/>
      <c r="Z18" s="1" t="s">
        <v>316</v>
      </c>
    </row>
    <row r="19" spans="1:38">
      <c r="A19" s="1" t="s">
        <v>53</v>
      </c>
      <c r="F19" s="1" t="s">
        <v>593</v>
      </c>
      <c r="I19" s="51"/>
      <c r="K19" s="1" t="s">
        <v>232</v>
      </c>
      <c r="N19" s="51"/>
      <c r="P19" s="1" t="s">
        <v>572</v>
      </c>
      <c r="S19" s="51"/>
      <c r="T19" s="51"/>
      <c r="U19" s="1" t="s">
        <v>249</v>
      </c>
      <c r="X19" s="51"/>
      <c r="Y19" s="51"/>
      <c r="Z19" s="1" t="s">
        <v>338</v>
      </c>
    </row>
    <row r="20" spans="1:38">
      <c r="A20" s="1" t="s">
        <v>584</v>
      </c>
      <c r="I20" s="51"/>
      <c r="N20" s="51"/>
      <c r="S20" s="51"/>
      <c r="T20" s="51"/>
      <c r="X20" s="51"/>
      <c r="Y20" s="51"/>
    </row>
    <row r="21" spans="1:38" s="10" customFormat="1">
      <c r="F21" s="10" t="s">
        <v>594</v>
      </c>
      <c r="I21" s="51"/>
      <c r="K21" s="10" t="s">
        <v>339</v>
      </c>
      <c r="N21" s="51"/>
      <c r="P21" s="10" t="s">
        <v>598</v>
      </c>
      <c r="S21" s="51"/>
      <c r="T21" s="51"/>
      <c r="U21" s="10" t="s">
        <v>102</v>
      </c>
      <c r="X21" s="51"/>
      <c r="Y21" s="51"/>
      <c r="Z21" s="10" t="s">
        <v>554</v>
      </c>
    </row>
    <row r="22" spans="1:38">
      <c r="A22" s="1" t="s">
        <v>403</v>
      </c>
      <c r="F22" s="1" t="s">
        <v>486</v>
      </c>
      <c r="I22" s="51"/>
      <c r="K22" s="1" t="s">
        <v>255</v>
      </c>
      <c r="N22" s="51"/>
      <c r="P22" s="1" t="s">
        <v>116</v>
      </c>
      <c r="S22" s="51"/>
      <c r="T22" s="51"/>
      <c r="U22" s="1" t="s">
        <v>234</v>
      </c>
      <c r="X22" s="51"/>
      <c r="Y22" s="51"/>
      <c r="Z22" s="1" t="s">
        <v>198</v>
      </c>
    </row>
    <row r="23" spans="1:38">
      <c r="A23" s="1" t="s">
        <v>585</v>
      </c>
      <c r="I23" s="51"/>
      <c r="N23" s="51"/>
      <c r="S23" s="51"/>
      <c r="T23" s="51"/>
      <c r="X23" s="51"/>
      <c r="Y23" s="51"/>
    </row>
    <row r="24" spans="1:38">
      <c r="F24" s="1" t="s">
        <v>595</v>
      </c>
      <c r="I24" s="51"/>
      <c r="K24" s="1" t="s">
        <v>72</v>
      </c>
      <c r="N24" s="51"/>
      <c r="P24" s="1" t="s">
        <v>599</v>
      </c>
      <c r="S24" s="51"/>
      <c r="T24" s="51"/>
      <c r="U24" s="1" t="s">
        <v>602</v>
      </c>
      <c r="X24" s="51"/>
      <c r="Y24" s="51"/>
      <c r="Z24" s="1" t="s">
        <v>603</v>
      </c>
    </row>
    <row r="25" spans="1:38">
      <c r="A25" s="1" t="s">
        <v>103</v>
      </c>
      <c r="F25" s="1" t="s">
        <v>198</v>
      </c>
      <c r="I25" s="51"/>
      <c r="K25" s="1" t="s">
        <v>232</v>
      </c>
      <c r="N25" s="51"/>
      <c r="P25" s="1" t="s">
        <v>600</v>
      </c>
      <c r="S25" s="51"/>
      <c r="T25" s="51"/>
      <c r="U25" s="1" t="s">
        <v>301</v>
      </c>
      <c r="X25" s="51"/>
      <c r="Y25" s="51"/>
      <c r="Z25" s="1" t="s">
        <v>333</v>
      </c>
    </row>
    <row r="26" spans="1:38">
      <c r="A26" s="1" t="s">
        <v>585</v>
      </c>
      <c r="I26" s="51"/>
      <c r="N26" s="51"/>
      <c r="S26" s="51"/>
      <c r="T26" s="51"/>
      <c r="X26" s="51"/>
      <c r="Y26" s="51"/>
    </row>
    <row r="27" spans="1:38">
      <c r="F27" s="3" t="s">
        <v>3</v>
      </c>
      <c r="G27" s="9">
        <f>AVERAGE(0.75,0.67,0.75)</f>
        <v>0.72333333333333327</v>
      </c>
      <c r="H27" s="2"/>
      <c r="I27" s="51"/>
      <c r="K27" s="3" t="s">
        <v>3</v>
      </c>
      <c r="L27" s="9">
        <f>AVERAGE(0.69,0.7,0.69)</f>
        <v>0.69333333333333336</v>
      </c>
      <c r="M27" s="2"/>
      <c r="N27" s="64"/>
      <c r="P27" s="3" t="s">
        <v>3</v>
      </c>
      <c r="Q27" s="9">
        <f>AVERAGE(0.72,0.74,0.71)</f>
        <v>0.72333333333333327</v>
      </c>
      <c r="R27" s="2"/>
      <c r="S27" s="65"/>
      <c r="T27" s="51"/>
      <c r="U27" s="3" t="s">
        <v>3</v>
      </c>
      <c r="V27" s="9">
        <f>AVERAGE(0.71,0.73,0.74)</f>
        <v>0.72666666666666657</v>
      </c>
      <c r="W27" s="2"/>
      <c r="X27" s="51"/>
      <c r="Y27" s="51"/>
      <c r="Z27" s="3" t="s">
        <v>3</v>
      </c>
      <c r="AA27" s="9">
        <f>AVERAGE(0.78,0.758,0.74)</f>
        <v>0.7593333333333333</v>
      </c>
      <c r="AB27" s="2"/>
      <c r="AE27" s="3" t="s">
        <v>3</v>
      </c>
      <c r="AF27" s="6">
        <f>AVERAGE(1)</f>
        <v>1</v>
      </c>
      <c r="AG27" s="2"/>
      <c r="AJ27" s="3" t="s">
        <v>3</v>
      </c>
      <c r="AK27" s="6">
        <f>AVERAGE(1)</f>
        <v>1</v>
      </c>
      <c r="AL27" s="2"/>
    </row>
    <row r="28" spans="1:38">
      <c r="A28" s="1" t="s">
        <v>470</v>
      </c>
      <c r="F28" s="1" t="s">
        <v>596</v>
      </c>
      <c r="G28" s="90">
        <f>_xlfn.STDEV.S(0.005,0.005,0.006)</f>
        <v>5.773502691896258E-4</v>
      </c>
      <c r="K28" s="1" t="s">
        <v>596</v>
      </c>
      <c r="L28" s="89">
        <f>_xlfn.STDEV.S(0.007,0.007,0.007)</f>
        <v>0</v>
      </c>
      <c r="P28" s="1" t="s">
        <v>596</v>
      </c>
      <c r="Q28" s="91">
        <f>_xlfn.STDEV.S(0.005,0.006,0.005)</f>
        <v>5.773502691896258E-4</v>
      </c>
      <c r="U28" s="1" t="s">
        <v>596</v>
      </c>
      <c r="V28" s="91">
        <f>_xlfn.STDEV.S(0.006,0.007,0.007)</f>
        <v>5.773502691896258E-4</v>
      </c>
      <c r="Z28" s="1" t="s">
        <v>596</v>
      </c>
      <c r="AA28" s="89">
        <f>_xlfn.STDEV.S(0.006,0.007,0.008)</f>
        <v>1E-3</v>
      </c>
      <c r="AE28" s="1" t="s">
        <v>596</v>
      </c>
      <c r="AF28" s="89">
        <f>_xlfn.STDEV.S(0.007,0.007,0.007)</f>
        <v>0</v>
      </c>
      <c r="AJ28" s="1" t="s">
        <v>596</v>
      </c>
      <c r="AK28" s="89">
        <f>_xlfn.STDEV.S(0.007,0.007,0.007)</f>
        <v>0</v>
      </c>
    </row>
    <row r="29" spans="1:38">
      <c r="A29" s="1" t="s">
        <v>586</v>
      </c>
    </row>
    <row r="30" spans="1:38">
      <c r="B30" s="38">
        <f>AVERAGE(1.31,1.3,1.3,1.33)</f>
        <v>1.31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L67"/>
  <sheetViews>
    <sheetView topLeftCell="L34" zoomScale="60" zoomScaleNormal="60" workbookViewId="0">
      <selection activeCell="F53" sqref="F53"/>
    </sheetView>
  </sheetViews>
  <sheetFormatPr baseColWidth="10" defaultColWidth="9.1640625" defaultRowHeight="15"/>
  <cols>
    <col min="1" max="1" width="9.6640625" style="1" bestFit="1" customWidth="1"/>
    <col min="2" max="2" width="15.1640625" style="1" customWidth="1"/>
    <col min="3" max="4" width="9.1640625" style="1"/>
    <col min="5" max="5" width="12.33203125" style="1" customWidth="1"/>
    <col min="6" max="6" width="11.5" style="1" customWidth="1"/>
    <col min="7" max="10" width="9.1640625" style="1"/>
    <col min="11" max="11" width="12" style="1" customWidth="1"/>
    <col min="12" max="15" width="9.1640625" style="1"/>
    <col min="16" max="16" width="16" style="1" bestFit="1" customWidth="1"/>
    <col min="17" max="20" width="9.1640625" style="1"/>
    <col min="21" max="21" width="16" style="1" bestFit="1" customWidth="1"/>
    <col min="22" max="34" width="9.1640625" style="1"/>
    <col min="35" max="35" width="9.1640625" style="1" customWidth="1"/>
    <col min="36" max="36" width="10.5" style="1" customWidth="1"/>
    <col min="37" max="16384" width="9.1640625" style="1"/>
  </cols>
  <sheetData>
    <row r="1" spans="1:38" ht="16">
      <c r="A1" s="36" t="s">
        <v>433</v>
      </c>
      <c r="B1" s="4" t="s">
        <v>1</v>
      </c>
      <c r="C1" s="4"/>
      <c r="D1" s="4"/>
      <c r="F1" s="48" t="s">
        <v>607</v>
      </c>
      <c r="G1" s="47"/>
      <c r="H1" s="47"/>
      <c r="I1" s="47"/>
      <c r="J1" s="47"/>
      <c r="K1" s="47"/>
      <c r="L1" s="47"/>
    </row>
    <row r="2" spans="1:38" s="10" customFormat="1" ht="16">
      <c r="A2" s="93"/>
      <c r="B2" s="95"/>
      <c r="C2" s="95"/>
      <c r="D2" s="95"/>
      <c r="E2" s="96"/>
      <c r="F2" s="40"/>
    </row>
    <row r="3" spans="1:38" s="10" customFormat="1" ht="16">
      <c r="A3" s="93"/>
      <c r="B3" s="95"/>
      <c r="C3" s="95"/>
      <c r="D3" s="95"/>
      <c r="E3" s="97"/>
      <c r="F3" s="98" t="s">
        <v>2</v>
      </c>
      <c r="G3" s="109"/>
      <c r="J3" s="97"/>
      <c r="K3" s="98" t="s">
        <v>2</v>
      </c>
      <c r="L3" s="99"/>
      <c r="M3" s="107"/>
      <c r="O3" s="97"/>
      <c r="P3" s="98" t="s">
        <v>2</v>
      </c>
      <c r="Q3" s="109"/>
      <c r="T3" s="97"/>
      <c r="U3" s="98" t="s">
        <v>2</v>
      </c>
      <c r="V3" s="109"/>
      <c r="X3" s="62"/>
      <c r="Y3" s="97"/>
      <c r="Z3" s="98" t="s">
        <v>2</v>
      </c>
      <c r="AA3" s="99"/>
      <c r="AB3" s="100"/>
      <c r="AD3" s="97"/>
      <c r="AE3" s="98" t="s">
        <v>2</v>
      </c>
      <c r="AF3" s="99"/>
      <c r="AG3" s="100"/>
    </row>
    <row r="4" spans="1:38" s="10" customFormat="1" ht="24">
      <c r="A4" s="93"/>
      <c r="B4" s="112">
        <v>45874</v>
      </c>
      <c r="C4" s="95"/>
      <c r="D4" s="95"/>
      <c r="E4" s="101" t="s">
        <v>685</v>
      </c>
      <c r="F4" s="62"/>
      <c r="G4" s="102"/>
      <c r="J4" s="101" t="s">
        <v>691</v>
      </c>
      <c r="K4" s="62"/>
      <c r="L4" s="62"/>
      <c r="M4" s="108"/>
      <c r="O4" s="101" t="s">
        <v>651</v>
      </c>
      <c r="P4" s="62"/>
      <c r="Q4" s="102"/>
      <c r="R4" s="1"/>
      <c r="S4" s="1"/>
      <c r="T4" s="101" t="s">
        <v>643</v>
      </c>
      <c r="U4" s="62"/>
      <c r="V4" s="102"/>
      <c r="X4" s="62"/>
      <c r="Y4" s="101" t="s">
        <v>636</v>
      </c>
      <c r="Z4" s="62"/>
      <c r="AA4" s="62"/>
      <c r="AB4" s="102"/>
      <c r="AD4" s="101" t="s">
        <v>630</v>
      </c>
      <c r="AE4" s="62"/>
      <c r="AF4" s="62"/>
      <c r="AG4" s="102"/>
      <c r="AI4" s="97"/>
      <c r="AJ4" s="98" t="s">
        <v>2</v>
      </c>
      <c r="AK4" s="99"/>
      <c r="AL4" s="107"/>
    </row>
    <row r="5" spans="1:38" s="10" customFormat="1" ht="16">
      <c r="A5" s="93"/>
      <c r="B5" s="95"/>
      <c r="C5" s="95"/>
      <c r="D5" s="95"/>
      <c r="E5" s="101" t="s">
        <v>686</v>
      </c>
      <c r="F5" s="62"/>
      <c r="G5" s="102"/>
      <c r="J5" s="101" t="s">
        <v>692</v>
      </c>
      <c r="K5" s="62"/>
      <c r="L5" s="62"/>
      <c r="M5" s="108"/>
      <c r="O5" s="101" t="s">
        <v>633</v>
      </c>
      <c r="P5" s="62"/>
      <c r="Q5" s="102"/>
      <c r="R5" s="1"/>
      <c r="S5" s="1"/>
      <c r="T5" s="101" t="s">
        <v>633</v>
      </c>
      <c r="U5" s="62"/>
      <c r="V5" s="102"/>
      <c r="X5" s="62"/>
      <c r="Y5" s="101" t="s">
        <v>363</v>
      </c>
      <c r="Z5" s="62"/>
      <c r="AA5" s="62"/>
      <c r="AB5" s="102"/>
      <c r="AD5" s="101" t="s">
        <v>631</v>
      </c>
      <c r="AE5" s="62"/>
      <c r="AF5" s="62"/>
      <c r="AG5" s="102"/>
      <c r="AI5" s="101" t="s">
        <v>619</v>
      </c>
      <c r="AJ5" s="62"/>
      <c r="AK5" s="62"/>
      <c r="AL5" s="108"/>
    </row>
    <row r="6" spans="1:38" s="10" customFormat="1" ht="16">
      <c r="A6" s="93"/>
      <c r="B6" s="133" t="s">
        <v>762</v>
      </c>
      <c r="C6" s="133"/>
      <c r="D6" s="95"/>
      <c r="E6" s="101"/>
      <c r="F6" s="62"/>
      <c r="G6" s="102"/>
      <c r="J6" s="101"/>
      <c r="K6" s="62"/>
      <c r="L6" s="62"/>
      <c r="M6" s="108"/>
      <c r="O6" s="101"/>
      <c r="P6" s="62"/>
      <c r="Q6" s="102"/>
      <c r="R6" s="1"/>
      <c r="S6" s="1"/>
      <c r="T6" s="101"/>
      <c r="U6" s="62"/>
      <c r="V6" s="102"/>
      <c r="X6" s="62"/>
      <c r="Y6" s="101"/>
      <c r="Z6" s="62"/>
      <c r="AA6" s="62"/>
      <c r="AB6" s="102"/>
      <c r="AD6" s="101"/>
      <c r="AE6" s="62"/>
      <c r="AF6" s="62"/>
      <c r="AG6" s="102"/>
      <c r="AI6" s="101" t="s">
        <v>620</v>
      </c>
      <c r="AJ6" s="62"/>
      <c r="AK6" s="62"/>
      <c r="AL6" s="108"/>
    </row>
    <row r="7" spans="1:38" s="10" customFormat="1" ht="16">
      <c r="A7" s="93"/>
      <c r="B7" s="95"/>
      <c r="C7" s="95"/>
      <c r="D7" s="95"/>
      <c r="E7" s="101" t="s">
        <v>687</v>
      </c>
      <c r="F7" s="62"/>
      <c r="G7" s="102"/>
      <c r="J7" s="101" t="s">
        <v>640</v>
      </c>
      <c r="K7" s="62"/>
      <c r="L7" s="62"/>
      <c r="M7" s="108"/>
      <c r="O7" s="101" t="s">
        <v>49</v>
      </c>
      <c r="P7" s="62"/>
      <c r="Q7" s="102"/>
      <c r="T7" s="101" t="s">
        <v>258</v>
      </c>
      <c r="U7" s="62"/>
      <c r="V7" s="102"/>
      <c r="X7" s="62"/>
      <c r="Y7" s="101" t="s">
        <v>637</v>
      </c>
      <c r="Z7" s="62"/>
      <c r="AA7" s="62"/>
      <c r="AB7" s="102"/>
      <c r="AD7" s="101" t="s">
        <v>632</v>
      </c>
      <c r="AE7" s="62"/>
      <c r="AF7" s="62"/>
      <c r="AG7" s="102"/>
      <c r="AI7" s="101"/>
      <c r="AJ7" s="62"/>
      <c r="AK7" s="62"/>
      <c r="AL7" s="108"/>
    </row>
    <row r="8" spans="1:38" s="10" customFormat="1" ht="16">
      <c r="A8" s="93"/>
      <c r="B8" s="95"/>
      <c r="C8" s="95"/>
      <c r="D8" s="95"/>
      <c r="E8" s="101" t="s">
        <v>688</v>
      </c>
      <c r="F8" s="62"/>
      <c r="G8" s="102"/>
      <c r="J8" s="101" t="s">
        <v>638</v>
      </c>
      <c r="K8" s="62"/>
      <c r="L8" s="62"/>
      <c r="M8" s="108"/>
      <c r="O8" s="101" t="s">
        <v>652</v>
      </c>
      <c r="P8" s="62"/>
      <c r="Q8" s="102"/>
      <c r="R8" s="1"/>
      <c r="S8" s="1"/>
      <c r="T8" s="101" t="s">
        <v>629</v>
      </c>
      <c r="U8" s="62"/>
      <c r="V8" s="102"/>
      <c r="X8" s="62"/>
      <c r="Y8" s="101" t="s">
        <v>638</v>
      </c>
      <c r="Z8" s="62"/>
      <c r="AA8" s="62"/>
      <c r="AB8" s="102"/>
      <c r="AD8" s="101" t="s">
        <v>633</v>
      </c>
      <c r="AE8" s="62"/>
      <c r="AF8" s="62"/>
      <c r="AG8" s="102"/>
      <c r="AI8" s="101" t="s">
        <v>621</v>
      </c>
      <c r="AJ8" s="62"/>
      <c r="AK8" s="62"/>
      <c r="AL8" s="108"/>
    </row>
    <row r="9" spans="1:38" s="10" customFormat="1" ht="16">
      <c r="A9" s="93"/>
      <c r="B9" s="95"/>
      <c r="C9" s="95"/>
      <c r="D9" s="95"/>
      <c r="E9" s="101"/>
      <c r="F9" s="62"/>
      <c r="G9" s="102"/>
      <c r="J9" s="101"/>
      <c r="K9" s="62"/>
      <c r="L9" s="62"/>
      <c r="M9" s="108"/>
      <c r="O9" s="101"/>
      <c r="P9" s="62"/>
      <c r="Q9" s="102"/>
      <c r="T9" s="101"/>
      <c r="U9" s="62"/>
      <c r="V9" s="102"/>
      <c r="X9" s="62"/>
      <c r="Y9" s="101"/>
      <c r="Z9" s="62"/>
      <c r="AA9" s="62"/>
      <c r="AB9" s="102"/>
      <c r="AD9" s="101"/>
      <c r="AE9" s="62"/>
      <c r="AF9" s="62"/>
      <c r="AG9" s="102"/>
      <c r="AI9" s="101" t="s">
        <v>620</v>
      </c>
      <c r="AJ9" s="62"/>
      <c r="AK9" s="62"/>
      <c r="AL9" s="108"/>
    </row>
    <row r="10" spans="1:38" s="10" customFormat="1" ht="16">
      <c r="A10" s="93"/>
      <c r="B10" s="95"/>
      <c r="C10" s="95"/>
      <c r="D10" s="95"/>
      <c r="E10" s="101" t="s">
        <v>689</v>
      </c>
      <c r="F10" s="62"/>
      <c r="G10" s="102"/>
      <c r="J10" s="101" t="s">
        <v>693</v>
      </c>
      <c r="K10" s="62"/>
      <c r="L10" s="62"/>
      <c r="M10" s="108"/>
      <c r="O10" s="101" t="s">
        <v>653</v>
      </c>
      <c r="P10" s="62"/>
      <c r="Q10" s="102"/>
      <c r="T10" s="101" t="s">
        <v>644</v>
      </c>
      <c r="U10" s="62"/>
      <c r="V10" s="102"/>
      <c r="X10" s="62"/>
      <c r="Y10" s="101" t="s">
        <v>618</v>
      </c>
      <c r="Z10" s="62"/>
      <c r="AA10" s="62"/>
      <c r="AB10" s="102"/>
      <c r="AD10" s="101" t="s">
        <v>634</v>
      </c>
      <c r="AE10" s="62"/>
      <c r="AF10" s="62"/>
      <c r="AG10" s="102"/>
      <c r="AI10" s="101"/>
      <c r="AJ10" s="62"/>
      <c r="AK10" s="62"/>
      <c r="AL10" s="108"/>
    </row>
    <row r="11" spans="1:38" s="10" customFormat="1" ht="16">
      <c r="A11" s="93"/>
      <c r="B11" s="95"/>
      <c r="C11" s="95"/>
      <c r="D11" s="95"/>
      <c r="E11" s="101" t="s">
        <v>690</v>
      </c>
      <c r="F11" s="62"/>
      <c r="G11" s="102"/>
      <c r="J11" s="101" t="s">
        <v>365</v>
      </c>
      <c r="K11" s="62"/>
      <c r="L11" s="62"/>
      <c r="M11" s="108"/>
      <c r="O11" s="101" t="s">
        <v>629</v>
      </c>
      <c r="P11" s="62"/>
      <c r="Q11" s="102"/>
      <c r="T11" s="101" t="s">
        <v>645</v>
      </c>
      <c r="U11" s="62"/>
      <c r="V11" s="102"/>
      <c r="X11" s="62"/>
      <c r="Y11" s="101" t="s">
        <v>363</v>
      </c>
      <c r="Z11" s="62"/>
      <c r="AA11" s="62"/>
      <c r="AB11" s="102"/>
      <c r="AD11" s="101" t="s">
        <v>635</v>
      </c>
      <c r="AE11" s="62"/>
      <c r="AF11" s="62"/>
      <c r="AG11" s="102"/>
      <c r="AI11" s="101" t="s">
        <v>598</v>
      </c>
      <c r="AJ11" s="62"/>
      <c r="AK11" s="62"/>
      <c r="AL11" s="108"/>
    </row>
    <row r="12" spans="1:38" ht="16">
      <c r="A12" s="93"/>
      <c r="B12" s="4"/>
      <c r="C12" s="4"/>
      <c r="D12" s="4"/>
      <c r="E12" s="101"/>
      <c r="F12" s="62"/>
      <c r="G12" s="102"/>
      <c r="H12" s="10"/>
      <c r="J12" s="101"/>
      <c r="K12" s="62"/>
      <c r="L12" s="62"/>
      <c r="M12" s="102"/>
      <c r="O12" s="101"/>
      <c r="P12" s="62"/>
      <c r="Q12" s="102"/>
      <c r="T12" s="101"/>
      <c r="U12" s="62"/>
      <c r="V12" s="102"/>
      <c r="X12" s="62"/>
      <c r="Y12" s="101"/>
      <c r="Z12" s="62"/>
      <c r="AA12" s="62"/>
      <c r="AB12" s="102"/>
      <c r="AD12" s="101"/>
      <c r="AE12" s="62"/>
      <c r="AF12" s="62"/>
      <c r="AG12" s="102"/>
      <c r="AI12" s="101" t="s">
        <v>620</v>
      </c>
      <c r="AJ12" s="62"/>
      <c r="AK12" s="62"/>
      <c r="AL12" s="108"/>
    </row>
    <row r="13" spans="1:38">
      <c r="C13" s="10"/>
      <c r="D13" s="10"/>
      <c r="E13" s="103" t="s">
        <v>3</v>
      </c>
      <c r="F13" s="104">
        <v>1.52</v>
      </c>
      <c r="G13" s="110"/>
      <c r="J13" s="103" t="s">
        <v>3</v>
      </c>
      <c r="K13" s="104">
        <f>AVERAGE(1.53,1.52,1.51)</f>
        <v>1.5199999999999998</v>
      </c>
      <c r="L13" s="105"/>
      <c r="M13" s="106"/>
      <c r="O13" s="103" t="s">
        <v>3</v>
      </c>
      <c r="P13" s="104">
        <f>AVERAGE(1.59,1.58,1.58)</f>
        <v>1.5833333333333333</v>
      </c>
      <c r="Q13" s="110"/>
      <c r="R13" s="92"/>
      <c r="S13" s="10"/>
      <c r="T13" s="103" t="s">
        <v>3</v>
      </c>
      <c r="U13" s="104">
        <f>AVERAGE(1.59,1.58,1.6)</f>
        <v>1.5899999999999999</v>
      </c>
      <c r="V13" s="110"/>
      <c r="X13" s="62"/>
      <c r="Y13" s="103" t="s">
        <v>3</v>
      </c>
      <c r="Z13" s="104">
        <f>AVERAGE(1.51,1.52,1.51)</f>
        <v>1.5133333333333334</v>
      </c>
      <c r="AA13" s="105"/>
      <c r="AB13" s="106"/>
      <c r="AD13" s="103" t="s">
        <v>3</v>
      </c>
      <c r="AE13" s="104">
        <f>AVERAGE(1.57,1.58,1.56)</f>
        <v>1.5700000000000003</v>
      </c>
      <c r="AF13" s="105"/>
      <c r="AG13" s="106"/>
      <c r="AI13" s="103" t="s">
        <v>3</v>
      </c>
      <c r="AJ13" s="104">
        <f>AVERAGE(1.68,1.68,1.68)</f>
        <v>1.68</v>
      </c>
      <c r="AK13" s="105"/>
      <c r="AL13" s="106"/>
    </row>
    <row r="14" spans="1:38" ht="24">
      <c r="A14" s="10"/>
      <c r="B14" s="10"/>
      <c r="C14" s="10"/>
      <c r="D14" s="62"/>
      <c r="E14" s="19"/>
      <c r="F14" s="94"/>
      <c r="G14" s="19"/>
      <c r="H14" s="66"/>
      <c r="I14" s="19"/>
      <c r="J14" s="87"/>
      <c r="K14" s="19"/>
      <c r="L14" s="67"/>
      <c r="M14" s="67" t="s">
        <v>39</v>
      </c>
      <c r="N14" s="19"/>
      <c r="O14" s="19"/>
      <c r="P14" s="112">
        <v>45874</v>
      </c>
      <c r="Q14" s="19"/>
      <c r="R14" s="66"/>
      <c r="S14" s="66"/>
      <c r="T14" s="19"/>
      <c r="U14" s="94"/>
      <c r="V14" s="19"/>
      <c r="W14" s="66"/>
      <c r="X14" s="66"/>
      <c r="Y14" s="87"/>
      <c r="Z14" s="19"/>
      <c r="AA14" s="88"/>
      <c r="AB14" s="19"/>
      <c r="AC14" s="19"/>
      <c r="AD14" s="87"/>
      <c r="AE14" s="19"/>
      <c r="AF14" s="88"/>
      <c r="AG14" s="19"/>
      <c r="AH14" s="19"/>
      <c r="AI14" s="87"/>
      <c r="AJ14" s="19"/>
      <c r="AK14" s="88"/>
      <c r="AL14" s="19"/>
    </row>
    <row r="15" spans="1:38">
      <c r="E15" s="2"/>
      <c r="F15" s="5" t="s">
        <v>221</v>
      </c>
      <c r="G15" s="2"/>
      <c r="H15" s="51"/>
      <c r="J15" s="2"/>
      <c r="K15" s="5" t="s">
        <v>361</v>
      </c>
      <c r="L15" s="2"/>
      <c r="M15" s="51"/>
      <c r="O15" s="2"/>
      <c r="P15" s="5" t="s">
        <v>473</v>
      </c>
      <c r="Q15" s="2"/>
      <c r="R15" s="63"/>
      <c r="S15" s="51"/>
      <c r="T15" s="2"/>
      <c r="U15" s="5" t="s">
        <v>475</v>
      </c>
      <c r="V15" s="2"/>
      <c r="W15" s="51"/>
      <c r="X15" s="51"/>
      <c r="Y15" s="2"/>
      <c r="Z15" s="5" t="s">
        <v>581</v>
      </c>
      <c r="AA15" s="2"/>
      <c r="AD15" s="2"/>
      <c r="AE15" s="5" t="s">
        <v>590</v>
      </c>
      <c r="AF15" s="2"/>
      <c r="AI15" s="2"/>
      <c r="AJ15" s="5" t="s">
        <v>591</v>
      </c>
      <c r="AK15" s="2"/>
    </row>
    <row r="16" spans="1:38">
      <c r="E16" s="1" t="s">
        <v>745</v>
      </c>
      <c r="H16" s="51"/>
      <c r="J16" s="1" t="s">
        <v>644</v>
      </c>
      <c r="M16" s="51"/>
      <c r="O16" s="1" t="s">
        <v>624</v>
      </c>
      <c r="R16" s="51"/>
      <c r="S16" s="51"/>
      <c r="T16" s="1" t="s">
        <v>674</v>
      </c>
      <c r="W16" s="51"/>
      <c r="X16" s="51"/>
      <c r="Y16" s="1" t="s">
        <v>679</v>
      </c>
      <c r="AD16" s="1" t="s">
        <v>83</v>
      </c>
      <c r="AI16" s="1" t="s">
        <v>654</v>
      </c>
    </row>
    <row r="17" spans="5:38">
      <c r="E17" s="1" t="s">
        <v>746</v>
      </c>
      <c r="H17" s="51"/>
      <c r="J17" s="1" t="s">
        <v>533</v>
      </c>
      <c r="M17" s="51"/>
      <c r="O17" s="1" t="s">
        <v>392</v>
      </c>
      <c r="R17" s="51"/>
      <c r="S17" s="51"/>
      <c r="T17" s="1" t="s">
        <v>675</v>
      </c>
      <c r="W17" s="51"/>
      <c r="X17" s="51"/>
      <c r="Y17" s="1" t="s">
        <v>680</v>
      </c>
      <c r="AD17" s="1" t="s">
        <v>684</v>
      </c>
      <c r="AI17" s="1" t="s">
        <v>655</v>
      </c>
    </row>
    <row r="18" spans="5:38">
      <c r="H18" s="51"/>
      <c r="M18" s="51"/>
      <c r="R18" s="51"/>
      <c r="S18" s="51"/>
      <c r="W18" s="51"/>
      <c r="X18" s="51"/>
    </row>
    <row r="19" spans="5:38">
      <c r="E19" s="1" t="s">
        <v>747</v>
      </c>
      <c r="H19" s="51"/>
      <c r="J19" s="1" t="s">
        <v>617</v>
      </c>
      <c r="M19" s="51"/>
      <c r="O19" s="1" t="s">
        <v>293</v>
      </c>
      <c r="R19" s="51"/>
      <c r="S19" s="51"/>
      <c r="T19" s="1" t="s">
        <v>676</v>
      </c>
      <c r="W19" s="51"/>
      <c r="X19" s="51"/>
      <c r="Y19" s="1" t="s">
        <v>681</v>
      </c>
      <c r="AD19" s="1" t="s">
        <v>312</v>
      </c>
      <c r="AI19" s="1" t="s">
        <v>656</v>
      </c>
    </row>
    <row r="20" spans="5:38">
      <c r="E20" s="1" t="s">
        <v>613</v>
      </c>
      <c r="H20" s="51"/>
      <c r="J20" s="1" t="s">
        <v>392</v>
      </c>
      <c r="M20" s="51"/>
      <c r="O20" s="1" t="s">
        <v>673</v>
      </c>
      <c r="R20" s="51"/>
      <c r="S20" s="51"/>
      <c r="T20" s="1" t="s">
        <v>677</v>
      </c>
      <c r="W20" s="51"/>
      <c r="X20" s="51"/>
      <c r="Y20" s="1" t="s">
        <v>668</v>
      </c>
      <c r="AD20" s="1" t="s">
        <v>684</v>
      </c>
      <c r="AI20" s="1" t="s">
        <v>657</v>
      </c>
    </row>
    <row r="21" spans="5:38">
      <c r="H21" s="51"/>
      <c r="M21" s="51"/>
      <c r="R21" s="51"/>
      <c r="S21" s="51"/>
      <c r="W21" s="51"/>
      <c r="X21" s="51"/>
    </row>
    <row r="22" spans="5:38">
      <c r="E22" s="1" t="s">
        <v>748</v>
      </c>
      <c r="H22" s="51"/>
      <c r="J22" s="1" t="s">
        <v>744</v>
      </c>
      <c r="M22" s="51"/>
      <c r="O22" s="1" t="s">
        <v>303</v>
      </c>
      <c r="R22" s="51"/>
      <c r="S22" s="51"/>
      <c r="T22" s="1" t="s">
        <v>458</v>
      </c>
      <c r="W22" s="51"/>
      <c r="X22" s="51"/>
      <c r="Y22" s="1" t="s">
        <v>682</v>
      </c>
      <c r="AD22" s="1" t="s">
        <v>500</v>
      </c>
      <c r="AI22" s="1" t="s">
        <v>658</v>
      </c>
    </row>
    <row r="23" spans="5:38">
      <c r="E23" s="1" t="s">
        <v>749</v>
      </c>
      <c r="H23" s="51"/>
      <c r="J23" s="1" t="s">
        <v>392</v>
      </c>
      <c r="M23" s="51"/>
      <c r="O23" s="1" t="s">
        <v>468</v>
      </c>
      <c r="R23" s="51"/>
      <c r="S23" s="51"/>
      <c r="T23" s="1" t="s">
        <v>678</v>
      </c>
      <c r="W23" s="51"/>
      <c r="X23" s="51"/>
      <c r="Y23" s="1" t="s">
        <v>683</v>
      </c>
      <c r="AD23" s="1" t="s">
        <v>684</v>
      </c>
      <c r="AI23" s="1" t="s">
        <v>659</v>
      </c>
    </row>
    <row r="24" spans="5:38">
      <c r="H24" s="51"/>
      <c r="M24" s="51"/>
      <c r="R24" s="51"/>
      <c r="S24" s="51"/>
      <c r="W24" s="51"/>
      <c r="X24" s="51"/>
    </row>
    <row r="25" spans="5:38" s="120" customFormat="1">
      <c r="E25" s="119" t="s">
        <v>3</v>
      </c>
      <c r="F25" s="113">
        <f>AVERAGE(0.88,0.91,0.87)</f>
        <v>0.88666666666666671</v>
      </c>
      <c r="H25" s="121"/>
      <c r="J25" s="119" t="s">
        <v>3</v>
      </c>
      <c r="K25" s="113">
        <f>AVERAGE(0.66,0.65,0.65)</f>
        <v>0.65333333333333332</v>
      </c>
      <c r="M25" s="122"/>
      <c r="O25" s="119" t="s">
        <v>3</v>
      </c>
      <c r="P25" s="113">
        <f>AVERAGE(0.65,0.62,0.63)</f>
        <v>0.6333333333333333</v>
      </c>
      <c r="R25" s="123"/>
      <c r="S25" s="121"/>
      <c r="T25" s="119" t="s">
        <v>3</v>
      </c>
      <c r="U25" s="113">
        <f>AVERAGE(0.52,0.53,0.52)</f>
        <v>0.52333333333333332</v>
      </c>
      <c r="W25" s="121"/>
      <c r="X25" s="121"/>
      <c r="Y25" s="119" t="s">
        <v>3</v>
      </c>
      <c r="Z25" s="113">
        <f>AVERAGE(0.55,0.54,0.55)</f>
        <v>0.54666666666666675</v>
      </c>
      <c r="AD25" s="119" t="s">
        <v>3</v>
      </c>
      <c r="AE25" s="113">
        <f>AVERAGE(0.49,0.49,0.49)</f>
        <v>0.49</v>
      </c>
      <c r="AI25" s="119" t="s">
        <v>3</v>
      </c>
      <c r="AJ25" s="113">
        <f>AVERAGE(0.53,0.5,0.51)</f>
        <v>0.51333333333333331</v>
      </c>
    </row>
    <row r="26" spans="5:38" s="48" customFormat="1">
      <c r="E26" s="115" t="s">
        <v>596</v>
      </c>
      <c r="F26" s="128">
        <f>_xlfn.STDEV.S(0.005,0.005,0.006)</f>
        <v>5.773502691896258E-4</v>
      </c>
      <c r="J26" s="48" t="s">
        <v>596</v>
      </c>
      <c r="K26" s="129">
        <f>_xlfn.STDEV.S(0.006,0.006,0.006)</f>
        <v>1.0622968402425924E-18</v>
      </c>
      <c r="O26" s="48" t="s">
        <v>596</v>
      </c>
      <c r="P26" s="128">
        <v>0</v>
      </c>
      <c r="T26" s="48" t="s">
        <v>596</v>
      </c>
      <c r="U26" s="128">
        <f>_xlfn.STDEV.S(0.007,0.007,0.008)</f>
        <v>5.773502691896258E-4</v>
      </c>
      <c r="Y26" s="48" t="s">
        <v>596</v>
      </c>
      <c r="Z26" s="128">
        <f>_xlfn.STDEV.S(0.008,0.007,0.008)</f>
        <v>5.773502691896258E-4</v>
      </c>
      <c r="AD26" s="48" t="s">
        <v>596</v>
      </c>
      <c r="AE26" s="128">
        <f>_xlfn.STDEV.S(0.007,0.008,0.008)</f>
        <v>5.773502691896258E-4</v>
      </c>
      <c r="AI26" s="48" t="s">
        <v>596</v>
      </c>
      <c r="AJ26" s="128">
        <f>_xlfn.STDEV.S(0.006,0.006,0.007)</f>
        <v>5.773502691896258E-4</v>
      </c>
    </row>
    <row r="27" spans="5:38" ht="24">
      <c r="E27" s="19"/>
      <c r="F27" s="94"/>
      <c r="G27" s="19"/>
      <c r="H27" s="66"/>
      <c r="I27" s="19"/>
      <c r="J27" s="87"/>
      <c r="K27" s="19"/>
      <c r="L27" s="67"/>
      <c r="M27" s="67" t="s">
        <v>39</v>
      </c>
      <c r="N27" s="19"/>
      <c r="O27" s="19"/>
      <c r="P27" s="112">
        <v>45875</v>
      </c>
      <c r="Q27" s="19"/>
      <c r="R27" s="66"/>
      <c r="S27" s="66"/>
      <c r="T27" s="19"/>
      <c r="U27" s="94"/>
      <c r="V27" s="19"/>
      <c r="W27" s="66"/>
      <c r="X27" s="66"/>
      <c r="Y27" s="87"/>
      <c r="Z27" s="19"/>
      <c r="AA27" s="88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</row>
    <row r="28" spans="5:38">
      <c r="E28" s="2"/>
      <c r="F28" s="5" t="s">
        <v>222</v>
      </c>
      <c r="G28" s="2"/>
      <c r="H28" s="51"/>
      <c r="J28" s="2"/>
      <c r="K28" s="5" t="s">
        <v>360</v>
      </c>
      <c r="L28" s="2"/>
      <c r="M28" s="51"/>
      <c r="O28" s="2"/>
      <c r="P28" s="5" t="s">
        <v>474</v>
      </c>
      <c r="Q28" s="2"/>
      <c r="R28" s="63"/>
      <c r="S28" s="51"/>
      <c r="T28" s="2"/>
      <c r="U28" s="5" t="s">
        <v>476</v>
      </c>
      <c r="V28" s="2"/>
      <c r="W28" s="51"/>
      <c r="X28" s="51"/>
      <c r="Y28" s="2"/>
      <c r="Z28" s="5" t="s">
        <v>582</v>
      </c>
      <c r="AA28" s="2"/>
      <c r="AD28" s="2"/>
      <c r="AE28" s="5" t="s">
        <v>604</v>
      </c>
      <c r="AF28" s="2"/>
      <c r="AI28" s="2"/>
      <c r="AJ28" s="5" t="s">
        <v>605</v>
      </c>
      <c r="AK28" s="2"/>
    </row>
    <row r="29" spans="5:38">
      <c r="E29" s="1" t="s">
        <v>125</v>
      </c>
      <c r="H29" s="51"/>
      <c r="J29" s="1" t="s">
        <v>561</v>
      </c>
      <c r="M29" s="51"/>
      <c r="O29" s="1" t="s">
        <v>698</v>
      </c>
      <c r="R29" s="51"/>
      <c r="S29" s="51"/>
      <c r="T29" s="1" t="s">
        <v>701</v>
      </c>
      <c r="W29" s="51"/>
      <c r="X29" s="51"/>
      <c r="Y29" s="1" t="s">
        <v>706</v>
      </c>
      <c r="AD29" s="1" t="s">
        <v>709</v>
      </c>
      <c r="AI29" s="1" t="s">
        <v>163</v>
      </c>
    </row>
    <row r="30" spans="5:38">
      <c r="E30" s="1" t="s">
        <v>755</v>
      </c>
      <c r="H30" s="51"/>
      <c r="J30" s="1" t="s">
        <v>196</v>
      </c>
      <c r="M30" s="51"/>
      <c r="O30" s="1" t="s">
        <v>413</v>
      </c>
      <c r="R30" s="51"/>
      <c r="S30" s="51"/>
      <c r="T30" s="1" t="s">
        <v>702</v>
      </c>
      <c r="W30" s="51"/>
      <c r="X30" s="51"/>
      <c r="Y30" s="1" t="s">
        <v>707</v>
      </c>
      <c r="AD30" s="1" t="s">
        <v>710</v>
      </c>
      <c r="AI30" s="1" t="s">
        <v>683</v>
      </c>
    </row>
    <row r="31" spans="5:38">
      <c r="H31" s="51"/>
      <c r="M31" s="51"/>
      <c r="R31" s="51"/>
      <c r="S31" s="51"/>
      <c r="W31" s="51"/>
      <c r="X31" s="51"/>
    </row>
    <row r="32" spans="5:38" s="10" customFormat="1">
      <c r="E32" s="10" t="s">
        <v>756</v>
      </c>
      <c r="H32" s="51"/>
      <c r="J32" s="10" t="s">
        <v>419</v>
      </c>
      <c r="M32" s="51"/>
      <c r="O32" s="10" t="s">
        <v>699</v>
      </c>
      <c r="R32" s="51"/>
      <c r="S32" s="51"/>
      <c r="T32" s="10" t="s">
        <v>703</v>
      </c>
      <c r="W32" s="51"/>
      <c r="X32" s="51"/>
      <c r="Y32" s="10" t="s">
        <v>307</v>
      </c>
      <c r="AD32" s="10" t="s">
        <v>711</v>
      </c>
      <c r="AI32" s="10" t="s">
        <v>535</v>
      </c>
    </row>
    <row r="33" spans="5:38">
      <c r="E33" s="1" t="s">
        <v>80</v>
      </c>
      <c r="H33" s="51"/>
      <c r="J33" s="1" t="s">
        <v>261</v>
      </c>
      <c r="M33" s="51"/>
      <c r="O33" s="1" t="s">
        <v>700</v>
      </c>
      <c r="R33" s="51"/>
      <c r="S33" s="51"/>
      <c r="T33" s="1" t="s">
        <v>357</v>
      </c>
      <c r="W33" s="51"/>
      <c r="X33" s="51"/>
      <c r="Y33" s="1" t="s">
        <v>707</v>
      </c>
      <c r="AD33" s="1" t="s">
        <v>680</v>
      </c>
      <c r="AI33" s="1" t="s">
        <v>530</v>
      </c>
    </row>
    <row r="34" spans="5:38">
      <c r="H34" s="51"/>
      <c r="M34" s="51"/>
      <c r="R34" s="51"/>
      <c r="S34" s="51"/>
      <c r="W34" s="51"/>
      <c r="X34" s="51"/>
    </row>
    <row r="35" spans="5:38">
      <c r="E35" s="1" t="s">
        <v>537</v>
      </c>
      <c r="H35" s="51"/>
      <c r="J35" s="1" t="s">
        <v>743</v>
      </c>
      <c r="M35" s="51"/>
      <c r="O35" s="1" t="s">
        <v>437</v>
      </c>
      <c r="R35" s="51"/>
      <c r="S35" s="51"/>
      <c r="T35" s="1" t="s">
        <v>704</v>
      </c>
      <c r="W35" s="51"/>
      <c r="X35" s="51"/>
      <c r="Y35" s="1" t="s">
        <v>288</v>
      </c>
      <c r="AD35" s="1" t="s">
        <v>712</v>
      </c>
      <c r="AI35" s="1" t="s">
        <v>535</v>
      </c>
    </row>
    <row r="36" spans="5:38">
      <c r="E36" s="1" t="s">
        <v>420</v>
      </c>
      <c r="H36" s="51"/>
      <c r="J36" s="1" t="s">
        <v>267</v>
      </c>
      <c r="M36" s="51"/>
      <c r="O36" s="1" t="s">
        <v>407</v>
      </c>
      <c r="R36" s="51"/>
      <c r="S36" s="51"/>
      <c r="T36" s="1" t="s">
        <v>705</v>
      </c>
      <c r="W36" s="51"/>
      <c r="X36" s="51"/>
      <c r="Y36" s="1" t="s">
        <v>708</v>
      </c>
      <c r="AD36" s="1" t="s">
        <v>713</v>
      </c>
      <c r="AI36" s="1" t="s">
        <v>714</v>
      </c>
    </row>
    <row r="37" spans="5:38">
      <c r="H37" s="51"/>
      <c r="M37" s="51"/>
      <c r="R37" s="51"/>
      <c r="S37" s="51"/>
      <c r="W37" s="51"/>
      <c r="X37" s="51"/>
    </row>
    <row r="38" spans="5:38" s="48" customFormat="1">
      <c r="E38" s="115" t="s">
        <v>3</v>
      </c>
      <c r="F38" s="114">
        <f>AVERAGE(0.94,0.94,0.97)</f>
        <v>0.94999999999999984</v>
      </c>
      <c r="H38" s="116"/>
      <c r="J38" s="115" t="s">
        <v>3</v>
      </c>
      <c r="K38" s="114">
        <f>AVERAGE(0.71,0.7,0.69)</f>
        <v>0.69999999999999984</v>
      </c>
      <c r="M38" s="117"/>
      <c r="O38" s="115" t="s">
        <v>3</v>
      </c>
      <c r="P38" s="114">
        <f>AVERAGE(0.79,0.8,0.79)</f>
        <v>0.79333333333333333</v>
      </c>
      <c r="R38" s="118"/>
      <c r="S38" s="116"/>
      <c r="T38" s="115" t="s">
        <v>3</v>
      </c>
      <c r="U38" s="114">
        <f>AVERAGE(0.54,0.56,0.57)</f>
        <v>0.55666666666666664</v>
      </c>
      <c r="W38" s="116"/>
      <c r="X38" s="116"/>
      <c r="Y38" s="115" t="s">
        <v>3</v>
      </c>
      <c r="Z38" s="114">
        <f>AVERAGE(0.6,0.6,0.58)</f>
        <v>0.59333333333333327</v>
      </c>
      <c r="AD38" s="115" t="s">
        <v>3</v>
      </c>
      <c r="AE38" s="114">
        <f>AVERAGE(0.56,0.54,0.52)</f>
        <v>0.54</v>
      </c>
      <c r="AI38" s="115" t="s">
        <v>3</v>
      </c>
      <c r="AJ38" s="114">
        <f>AVERAGE(0.55,0.55,0.56)</f>
        <v>0.55333333333333334</v>
      </c>
    </row>
    <row r="39" spans="5:38" s="48" customFormat="1">
      <c r="E39" s="115" t="s">
        <v>596</v>
      </c>
      <c r="F39" s="126">
        <f>_xlfn.STDEV.S(0.008,0.006,0.006)</f>
        <v>1.1547005383792516E-3</v>
      </c>
      <c r="J39" s="48" t="s">
        <v>596</v>
      </c>
      <c r="K39" s="114">
        <f>_xlfn.STDEV.S(0.006,0.006,0.006)</f>
        <v>1.0622968402425924E-18</v>
      </c>
      <c r="O39" s="48" t="s">
        <v>596</v>
      </c>
      <c r="P39" s="128">
        <f>_xlfn.STDEV.S(0.008,0.007,0.007)</f>
        <v>5.773502691896258E-4</v>
      </c>
      <c r="T39" s="48" t="s">
        <v>596</v>
      </c>
      <c r="U39" s="128">
        <f>_xlfn.STDEV.S(0.007,0.007,0.008)</f>
        <v>5.773502691896258E-4</v>
      </c>
      <c r="Y39" s="48" t="s">
        <v>596</v>
      </c>
      <c r="Z39" s="128">
        <f>_xlfn.STDEV.S(0.008,0.007,0.008)</f>
        <v>5.773502691896258E-4</v>
      </c>
      <c r="AD39" s="48" t="s">
        <v>596</v>
      </c>
      <c r="AE39" s="128">
        <f>_xlfn.STDEV.S(0.007,0.008,0.008)</f>
        <v>5.773502691896258E-4</v>
      </c>
      <c r="AI39" s="48" t="s">
        <v>596</v>
      </c>
      <c r="AJ39" s="128">
        <f>_xlfn.STDEV.S(0.006,0.006,0.007)</f>
        <v>5.773502691896258E-4</v>
      </c>
    </row>
    <row r="41" spans="5:38" ht="24">
      <c r="E41" s="68"/>
      <c r="F41" s="130"/>
      <c r="G41" s="68"/>
      <c r="H41" s="69"/>
      <c r="I41" s="68"/>
      <c r="J41" s="131"/>
      <c r="K41" s="68"/>
      <c r="L41" s="70"/>
      <c r="M41" s="70" t="s">
        <v>728</v>
      </c>
      <c r="N41" s="68"/>
      <c r="O41" s="68"/>
      <c r="P41" s="112">
        <v>45875</v>
      </c>
      <c r="Q41" s="70" t="s">
        <v>729</v>
      </c>
      <c r="R41" s="69"/>
      <c r="S41" s="69"/>
      <c r="T41" s="68"/>
      <c r="U41" s="130"/>
      <c r="V41" s="68"/>
      <c r="W41" s="69"/>
      <c r="X41" s="69"/>
      <c r="Y41" s="131"/>
      <c r="Z41" s="68"/>
      <c r="AA41" s="132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</row>
    <row r="42" spans="5:38">
      <c r="E42" s="2"/>
      <c r="F42" s="5" t="s">
        <v>222</v>
      </c>
      <c r="G42" s="2"/>
      <c r="H42" s="51"/>
      <c r="J42" s="2"/>
      <c r="K42" s="5" t="s">
        <v>360</v>
      </c>
      <c r="L42" s="2"/>
      <c r="M42" s="51"/>
      <c r="O42" s="2"/>
      <c r="P42" s="5" t="s">
        <v>474</v>
      </c>
      <c r="Q42" s="2"/>
      <c r="R42" s="63"/>
      <c r="S42" s="51"/>
      <c r="T42" s="2"/>
      <c r="U42" s="5" t="s">
        <v>476</v>
      </c>
      <c r="V42" s="2"/>
      <c r="W42" s="51"/>
      <c r="X42" s="51"/>
      <c r="Y42" s="2"/>
      <c r="Z42" s="5" t="s">
        <v>582</v>
      </c>
      <c r="AA42" s="2"/>
      <c r="AD42" s="2"/>
      <c r="AE42" s="5" t="s">
        <v>604</v>
      </c>
      <c r="AF42" s="2"/>
      <c r="AI42" s="2"/>
      <c r="AJ42" s="5" t="s">
        <v>605</v>
      </c>
      <c r="AK42" s="2"/>
    </row>
    <row r="43" spans="5:38">
      <c r="E43" s="1" t="s">
        <v>553</v>
      </c>
      <c r="H43" s="51"/>
      <c r="J43" s="1" t="s">
        <v>759</v>
      </c>
      <c r="M43" s="51"/>
      <c r="O43" s="1" t="s">
        <v>330</v>
      </c>
      <c r="R43" s="51"/>
      <c r="S43" s="51"/>
      <c r="T43" s="1" t="s">
        <v>646</v>
      </c>
      <c r="W43" s="51"/>
      <c r="X43" s="51"/>
      <c r="Y43" s="1" t="s">
        <v>735</v>
      </c>
      <c r="AD43" s="1" t="s">
        <v>739</v>
      </c>
      <c r="AI43" s="1" t="s">
        <v>730</v>
      </c>
    </row>
    <row r="44" spans="5:38">
      <c r="E44" s="1" t="s">
        <v>261</v>
      </c>
      <c r="H44" s="51"/>
      <c r="J44" s="1" t="s">
        <v>760</v>
      </c>
      <c r="M44" s="51"/>
      <c r="O44" s="1" t="s">
        <v>348</v>
      </c>
      <c r="R44" s="51"/>
      <c r="S44" s="51"/>
      <c r="T44" s="1" t="s">
        <v>388</v>
      </c>
      <c r="W44" s="51"/>
      <c r="X44" s="51"/>
      <c r="Y44" s="1" t="s">
        <v>736</v>
      </c>
      <c r="AD44" s="1" t="s">
        <v>368</v>
      </c>
      <c r="AI44" s="1" t="s">
        <v>731</v>
      </c>
    </row>
    <row r="45" spans="5:38">
      <c r="H45" s="51"/>
      <c r="M45" s="51"/>
      <c r="R45" s="51"/>
      <c r="S45" s="51"/>
      <c r="W45" s="51"/>
      <c r="X45" s="51"/>
    </row>
    <row r="46" spans="5:38" s="10" customFormat="1">
      <c r="E46" s="10" t="s">
        <v>757</v>
      </c>
      <c r="H46" s="51"/>
      <c r="J46" s="10" t="s">
        <v>640</v>
      </c>
      <c r="M46" s="51"/>
      <c r="O46" s="10" t="s">
        <v>501</v>
      </c>
      <c r="R46" s="51"/>
      <c r="S46" s="51"/>
      <c r="T46" s="10" t="s">
        <v>742</v>
      </c>
      <c r="W46" s="51"/>
      <c r="X46" s="51"/>
      <c r="Y46" s="10" t="s">
        <v>709</v>
      </c>
      <c r="AD46" s="10" t="s">
        <v>377</v>
      </c>
      <c r="AI46" s="10" t="s">
        <v>732</v>
      </c>
    </row>
    <row r="47" spans="5:38">
      <c r="E47" s="1" t="s">
        <v>111</v>
      </c>
      <c r="H47" s="51"/>
      <c r="J47" s="1" t="s">
        <v>760</v>
      </c>
      <c r="M47" s="51"/>
      <c r="O47" s="1" t="s">
        <v>520</v>
      </c>
      <c r="R47" s="51"/>
      <c r="S47" s="51"/>
      <c r="T47" s="1" t="s">
        <v>741</v>
      </c>
      <c r="W47" s="51"/>
      <c r="X47" s="51"/>
      <c r="Y47" s="1" t="s">
        <v>395</v>
      </c>
      <c r="AD47" s="1" t="s">
        <v>740</v>
      </c>
      <c r="AI47" s="1" t="s">
        <v>731</v>
      </c>
    </row>
    <row r="48" spans="5:38">
      <c r="H48" s="51"/>
      <c r="M48" s="51"/>
      <c r="R48" s="51"/>
      <c r="S48" s="51"/>
      <c r="W48" s="51"/>
      <c r="X48" s="51"/>
    </row>
    <row r="49" spans="5:38">
      <c r="E49" s="1" t="s">
        <v>758</v>
      </c>
      <c r="H49" s="51"/>
      <c r="J49" s="1" t="s">
        <v>761</v>
      </c>
      <c r="M49" s="51"/>
      <c r="O49" s="1" t="s">
        <v>743</v>
      </c>
      <c r="R49" s="51"/>
      <c r="S49" s="51"/>
      <c r="T49" s="1" t="s">
        <v>664</v>
      </c>
      <c r="W49" s="51"/>
      <c r="X49" s="51"/>
      <c r="Y49" s="1" t="s">
        <v>737</v>
      </c>
      <c r="AD49" s="1" t="s">
        <v>685</v>
      </c>
      <c r="AI49" s="1" t="s">
        <v>268</v>
      </c>
    </row>
    <row r="50" spans="5:38">
      <c r="E50" s="1" t="s">
        <v>111</v>
      </c>
      <c r="H50" s="51"/>
      <c r="J50" s="1" t="s">
        <v>655</v>
      </c>
      <c r="M50" s="51"/>
      <c r="O50" s="1" t="s">
        <v>720</v>
      </c>
      <c r="R50" s="51"/>
      <c r="S50" s="51"/>
      <c r="T50" s="1" t="s">
        <v>393</v>
      </c>
      <c r="W50" s="51"/>
      <c r="X50" s="51"/>
      <c r="Y50" s="1" t="s">
        <v>738</v>
      </c>
      <c r="AD50" s="1" t="s">
        <v>741</v>
      </c>
      <c r="AI50" s="1" t="s">
        <v>733</v>
      </c>
    </row>
    <row r="51" spans="5:38">
      <c r="H51" s="51"/>
      <c r="M51" s="51"/>
      <c r="R51" s="51"/>
      <c r="S51" s="51"/>
      <c r="W51" s="51"/>
      <c r="X51" s="51"/>
    </row>
    <row r="52" spans="5:38" s="48" customFormat="1">
      <c r="E52" s="115" t="s">
        <v>3</v>
      </c>
      <c r="F52" s="114">
        <f>AVERAGE(0.71,0.72,0.72)</f>
        <v>0.71666666666666667</v>
      </c>
      <c r="H52" s="116"/>
      <c r="J52" s="115" t="s">
        <v>3</v>
      </c>
      <c r="K52" s="114">
        <f>AVERAGE(0.52,0.52,0.53)</f>
        <v>0.52333333333333332</v>
      </c>
      <c r="M52" s="117"/>
      <c r="O52" s="115" t="s">
        <v>3</v>
      </c>
      <c r="P52" s="114">
        <f>AVERAGE(0.59,0.59,0.58)</f>
        <v>0.58666666666666656</v>
      </c>
      <c r="R52" s="118"/>
      <c r="S52" s="116"/>
      <c r="T52" s="115" t="s">
        <v>3</v>
      </c>
      <c r="U52" s="114">
        <f>AVERAGE(0.39,0.37,0.35)</f>
        <v>0.36999999999999994</v>
      </c>
      <c r="W52" s="116"/>
      <c r="X52" s="116"/>
      <c r="Y52" s="115" t="s">
        <v>3</v>
      </c>
      <c r="Z52" s="114">
        <f>AVERAGE(0.3,0.36,0.32)</f>
        <v>0.32666666666666666</v>
      </c>
      <c r="AD52" s="115" t="s">
        <v>3</v>
      </c>
      <c r="AE52" s="114">
        <f>AVERAGE(0.28,0.29,0.35)</f>
        <v>0.3066666666666667</v>
      </c>
      <c r="AI52" s="115" t="s">
        <v>3</v>
      </c>
      <c r="AJ52" s="114">
        <f>AVERAGE(0.34,0.34,0.33)</f>
        <v>0.33666666666666667</v>
      </c>
    </row>
    <row r="53" spans="5:38" s="48" customFormat="1">
      <c r="E53" s="115" t="s">
        <v>596</v>
      </c>
      <c r="F53" s="126">
        <f>_xlfn.STDEV.S(0.006,0.006,0.006)</f>
        <v>1.0622968402425924E-18</v>
      </c>
      <c r="J53" s="48" t="s">
        <v>596</v>
      </c>
      <c r="K53" s="114">
        <f>_xlfn.STDEV.S(0.006,0.006,0.006)</f>
        <v>1.0622968402425924E-18</v>
      </c>
      <c r="O53" s="48" t="s">
        <v>596</v>
      </c>
      <c r="P53" s="128">
        <f>_xlfn.STDEV.S(0.007,0.006,0.006)</f>
        <v>5.773502691896258E-4</v>
      </c>
      <c r="T53" s="48" t="s">
        <v>596</v>
      </c>
      <c r="U53" s="128">
        <f>_xlfn.STDEV.S(0.007,0.007,0.007)</f>
        <v>0</v>
      </c>
      <c r="Y53" s="48" t="s">
        <v>596</v>
      </c>
      <c r="Z53" s="128">
        <f>_xlfn.STDEV.S(0.008,0.007,0.007)</f>
        <v>5.773502691896258E-4</v>
      </c>
      <c r="AD53" s="48" t="s">
        <v>596</v>
      </c>
      <c r="AE53" s="128">
        <f>_xlfn.STDEV.S(0.007,0.008,0.007)</f>
        <v>5.773502691896258E-4</v>
      </c>
      <c r="AI53" s="48" t="s">
        <v>596</v>
      </c>
      <c r="AJ53" s="129">
        <f>_xlfn.STDEV.S(0.006,0.006,0.006)</f>
        <v>1.0622968402425924E-18</v>
      </c>
    </row>
    <row r="55" spans="5:38" ht="24">
      <c r="E55" s="68"/>
      <c r="F55" s="130"/>
      <c r="G55" s="68"/>
      <c r="H55" s="69"/>
      <c r="I55" s="68"/>
      <c r="J55" s="131"/>
      <c r="K55" s="68"/>
      <c r="L55" s="70"/>
      <c r="M55" s="70" t="s">
        <v>728</v>
      </c>
      <c r="N55" s="68"/>
      <c r="O55" s="68"/>
      <c r="P55" s="112">
        <v>45875</v>
      </c>
      <c r="Q55" s="70" t="s">
        <v>734</v>
      </c>
      <c r="R55" s="69"/>
      <c r="S55" s="69"/>
      <c r="T55" s="68"/>
      <c r="U55" s="130"/>
      <c r="V55" s="68"/>
      <c r="W55" s="69"/>
      <c r="X55" s="69"/>
      <c r="Y55" s="131"/>
      <c r="Z55" s="68"/>
      <c r="AA55" s="132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</row>
    <row r="56" spans="5:38">
      <c r="E56" s="2"/>
      <c r="F56" s="5" t="s">
        <v>222</v>
      </c>
      <c r="G56" s="2"/>
      <c r="H56" s="51"/>
      <c r="J56" s="2"/>
      <c r="K56" s="5" t="s">
        <v>360</v>
      </c>
      <c r="L56" s="2"/>
      <c r="M56" s="51"/>
      <c r="O56" s="2"/>
      <c r="P56" s="5" t="s">
        <v>474</v>
      </c>
      <c r="Q56" s="2"/>
      <c r="R56" s="63"/>
      <c r="S56" s="51"/>
      <c r="T56" s="2"/>
      <c r="U56" s="5" t="s">
        <v>476</v>
      </c>
      <c r="V56" s="2"/>
      <c r="W56" s="51"/>
      <c r="X56" s="51"/>
      <c r="Y56" s="2"/>
      <c r="Z56" s="5" t="s">
        <v>582</v>
      </c>
      <c r="AA56" s="2"/>
      <c r="AD56" s="2"/>
      <c r="AE56" s="5" t="s">
        <v>604</v>
      </c>
      <c r="AF56" s="2"/>
      <c r="AI56" s="2"/>
      <c r="AJ56" s="5" t="s">
        <v>605</v>
      </c>
      <c r="AK56" s="2"/>
    </row>
    <row r="57" spans="5:38">
      <c r="H57" s="51"/>
      <c r="M57" s="51"/>
      <c r="R57" s="51"/>
      <c r="S57" s="51"/>
      <c r="W57" s="51"/>
      <c r="X57" s="51"/>
    </row>
    <row r="58" spans="5:38">
      <c r="H58" s="51"/>
      <c r="M58" s="51"/>
      <c r="R58" s="51"/>
      <c r="S58" s="51"/>
      <c r="W58" s="51"/>
      <c r="X58" s="51"/>
    </row>
    <row r="59" spans="5:38">
      <c r="H59" s="51"/>
      <c r="M59" s="51"/>
      <c r="R59" s="51"/>
      <c r="S59" s="51"/>
      <c r="W59" s="51"/>
      <c r="X59" s="51"/>
    </row>
    <row r="60" spans="5:38" s="10" customFormat="1">
      <c r="H60" s="51"/>
      <c r="M60" s="51"/>
      <c r="R60" s="51"/>
      <c r="S60" s="51"/>
      <c r="W60" s="51"/>
      <c r="X60" s="51"/>
    </row>
    <row r="61" spans="5:38">
      <c r="H61" s="51"/>
      <c r="M61" s="51"/>
      <c r="R61" s="51"/>
      <c r="S61" s="51"/>
      <c r="W61" s="51"/>
      <c r="X61" s="51"/>
    </row>
    <row r="62" spans="5:38">
      <c r="H62" s="51"/>
      <c r="M62" s="51"/>
      <c r="R62" s="51"/>
      <c r="S62" s="51"/>
      <c r="W62" s="51"/>
      <c r="X62" s="51"/>
    </row>
    <row r="63" spans="5:38">
      <c r="H63" s="51"/>
      <c r="M63" s="51"/>
      <c r="R63" s="51"/>
      <c r="S63" s="51"/>
      <c r="W63" s="51"/>
      <c r="X63" s="51"/>
    </row>
    <row r="64" spans="5:38">
      <c r="H64" s="51"/>
      <c r="M64" s="51"/>
      <c r="R64" s="51"/>
      <c r="S64" s="51"/>
      <c r="W64" s="51"/>
      <c r="X64" s="51"/>
    </row>
    <row r="65" spans="5:36">
      <c r="H65" s="51"/>
      <c r="M65" s="51"/>
      <c r="R65" s="51"/>
      <c r="S65" s="51"/>
      <c r="W65" s="51"/>
      <c r="X65" s="51"/>
    </row>
    <row r="66" spans="5:36" s="48" customFormat="1">
      <c r="E66" s="115" t="s">
        <v>3</v>
      </c>
      <c r="F66" s="114">
        <f>AVERAGE(0.75,0.67,0.75)</f>
        <v>0.72333333333333327</v>
      </c>
      <c r="H66" s="116"/>
      <c r="J66" s="115" t="s">
        <v>3</v>
      </c>
      <c r="K66" s="114">
        <f>AVERAGE(0.69,0.7,0.69)</f>
        <v>0.69333333333333336</v>
      </c>
      <c r="M66" s="117"/>
      <c r="O66" s="115" t="s">
        <v>3</v>
      </c>
      <c r="P66" s="114">
        <f>AVERAGE(0.79,0.8,0.79)</f>
        <v>0.79333333333333333</v>
      </c>
      <c r="R66" s="118"/>
      <c r="S66" s="116"/>
      <c r="T66" s="115" t="s">
        <v>3</v>
      </c>
      <c r="U66" s="114">
        <f>AVERAGE(0.54,0.56,0.57)</f>
        <v>0.55666666666666664</v>
      </c>
      <c r="W66" s="116"/>
      <c r="X66" s="116"/>
      <c r="Y66" s="115" t="s">
        <v>3</v>
      </c>
      <c r="Z66" s="114">
        <f>AVERAGE(0.6,0.6,0.58)</f>
        <v>0.59333333333333327</v>
      </c>
      <c r="AD66" s="115" t="s">
        <v>3</v>
      </c>
      <c r="AE66" s="114">
        <f>AVERAGE(0.56,0.54,0.52)</f>
        <v>0.54</v>
      </c>
      <c r="AI66" s="115" t="s">
        <v>3</v>
      </c>
      <c r="AJ66" s="114">
        <f>AVERAGE(0.34,0.34,0.33)</f>
        <v>0.33666666666666667</v>
      </c>
    </row>
    <row r="67" spans="5:36" s="48" customFormat="1">
      <c r="E67" s="115" t="s">
        <v>596</v>
      </c>
      <c r="F67" s="126">
        <f>_xlfn.STDEV.S(0.005,0.005,0.006)</f>
        <v>5.773502691896258E-4</v>
      </c>
      <c r="J67" s="48" t="s">
        <v>596</v>
      </c>
      <c r="K67" s="127">
        <f>_xlfn.STDEV.S(0.007,0.007,0.007)</f>
        <v>0</v>
      </c>
      <c r="O67" s="48" t="s">
        <v>596</v>
      </c>
      <c r="P67" s="128">
        <f>_xlfn.STDEV.S(0.008,0.007,0.007)</f>
        <v>5.773502691896258E-4</v>
      </c>
      <c r="T67" s="48" t="s">
        <v>596</v>
      </c>
      <c r="U67" s="128">
        <f>_xlfn.STDEV.S(0.007,0.007,0.008)</f>
        <v>5.773502691896258E-4</v>
      </c>
      <c r="Y67" s="48" t="s">
        <v>596</v>
      </c>
      <c r="Z67" s="128">
        <f>_xlfn.STDEV.S(0.008,0.007,0.008)</f>
        <v>5.773502691896258E-4</v>
      </c>
      <c r="AD67" s="48" t="s">
        <v>596</v>
      </c>
      <c r="AE67" s="128">
        <f>_xlfn.STDEV.S(0.007,0.008,0.008)</f>
        <v>5.773502691896258E-4</v>
      </c>
      <c r="AI67" s="48" t="s">
        <v>596</v>
      </c>
      <c r="AJ67" s="129">
        <f>_xlfn.STDEV.S(0.006,0.006,0.006)</f>
        <v>1.0622968402425924E-18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76"/>
  <sheetViews>
    <sheetView topLeftCell="L28" zoomScale="60" zoomScaleNormal="60" workbookViewId="0">
      <selection activeCell="AE42" sqref="AE42"/>
    </sheetView>
  </sheetViews>
  <sheetFormatPr baseColWidth="10" defaultColWidth="9.1640625" defaultRowHeight="15"/>
  <cols>
    <col min="1" max="1" width="9.6640625" style="1" bestFit="1" customWidth="1"/>
    <col min="2" max="2" width="14.83203125" style="1" customWidth="1"/>
    <col min="3" max="4" width="9.1640625" style="1"/>
    <col min="5" max="5" width="10.1640625" style="1" customWidth="1"/>
    <col min="6" max="6" width="11.5" style="1" customWidth="1"/>
    <col min="7" max="10" width="9.1640625" style="1"/>
    <col min="11" max="11" width="16.5" style="1" bestFit="1" customWidth="1"/>
    <col min="12" max="15" width="9.1640625" style="1"/>
    <col min="16" max="16" width="16" style="1" bestFit="1" customWidth="1"/>
    <col min="17" max="20" width="9.1640625" style="1"/>
    <col min="21" max="21" width="16" style="1" bestFit="1" customWidth="1"/>
    <col min="22" max="25" width="9.1640625" style="1"/>
    <col min="26" max="26" width="9.83203125" style="1" customWidth="1"/>
    <col min="27" max="30" width="9.1640625" style="1"/>
    <col min="31" max="31" width="13.33203125" style="1" bestFit="1" customWidth="1"/>
    <col min="32" max="35" width="9.1640625" style="1"/>
    <col min="36" max="36" width="16.5" style="1" bestFit="1" customWidth="1"/>
    <col min="37" max="16384" width="9.1640625" style="1"/>
  </cols>
  <sheetData>
    <row r="1" spans="1:38" ht="16">
      <c r="A1" s="36" t="s">
        <v>433</v>
      </c>
      <c r="B1" s="4" t="s">
        <v>1</v>
      </c>
      <c r="C1" s="4"/>
      <c r="D1" s="4"/>
      <c r="F1" s="48" t="s">
        <v>607</v>
      </c>
      <c r="G1" s="47"/>
      <c r="H1" s="47"/>
      <c r="I1" s="47"/>
      <c r="J1" s="47"/>
      <c r="K1" s="47"/>
      <c r="L1" s="47"/>
    </row>
    <row r="2" spans="1:38" ht="16">
      <c r="A2" s="93"/>
      <c r="B2" s="4"/>
      <c r="C2" s="4"/>
      <c r="D2" s="4"/>
      <c r="E2" s="96"/>
      <c r="F2" s="40"/>
      <c r="G2" s="10"/>
      <c r="H2" s="10"/>
      <c r="I2" s="10"/>
      <c r="J2" s="10"/>
      <c r="K2" s="10"/>
      <c r="L2" s="10"/>
    </row>
    <row r="3" spans="1:38" ht="16">
      <c r="A3" s="93"/>
      <c r="B3" s="133" t="s">
        <v>762</v>
      </c>
      <c r="C3" s="133"/>
      <c r="D3" s="4"/>
      <c r="E3" s="96"/>
      <c r="F3" s="40"/>
      <c r="K3" s="10"/>
      <c r="L3" s="10"/>
    </row>
    <row r="4" spans="1:38" ht="16">
      <c r="A4" s="93"/>
      <c r="B4" s="4"/>
      <c r="C4" s="4"/>
      <c r="D4" s="4"/>
      <c r="E4" s="96"/>
      <c r="F4" s="40"/>
      <c r="K4" s="10"/>
      <c r="L4" s="10"/>
    </row>
    <row r="5" spans="1:38" ht="21">
      <c r="A5" s="93"/>
      <c r="B5" s="111">
        <v>45874</v>
      </c>
      <c r="C5" s="4"/>
      <c r="D5" s="4"/>
      <c r="E5" s="96"/>
      <c r="F5" s="40"/>
      <c r="K5" s="10"/>
      <c r="L5" s="10"/>
    </row>
    <row r="6" spans="1:38" ht="16">
      <c r="A6" s="93"/>
      <c r="B6" s="4"/>
      <c r="C6" s="4"/>
      <c r="D6" s="4"/>
      <c r="E6" s="97"/>
      <c r="F6" s="98" t="s">
        <v>2</v>
      </c>
      <c r="G6" s="99"/>
      <c r="H6" s="100"/>
      <c r="J6" s="97"/>
      <c r="K6" s="98" t="s">
        <v>2</v>
      </c>
      <c r="L6" s="99"/>
      <c r="M6" s="100"/>
      <c r="O6" s="97"/>
      <c r="P6" s="98" t="s">
        <v>2</v>
      </c>
      <c r="Q6" s="99"/>
      <c r="R6" s="100"/>
      <c r="T6" s="97"/>
      <c r="U6" s="98" t="s">
        <v>2</v>
      </c>
      <c r="V6" s="99"/>
      <c r="W6" s="100"/>
      <c r="Y6" s="97"/>
      <c r="Z6" s="98" t="s">
        <v>2</v>
      </c>
      <c r="AA6" s="99"/>
      <c r="AB6" s="100"/>
      <c r="AD6" s="97"/>
      <c r="AE6" s="98" t="s">
        <v>2</v>
      </c>
      <c r="AF6" s="99"/>
      <c r="AG6" s="100"/>
      <c r="AI6" s="97"/>
      <c r="AJ6" s="98" t="s">
        <v>2</v>
      </c>
      <c r="AK6" s="99"/>
      <c r="AL6" s="100"/>
    </row>
    <row r="7" spans="1:38" ht="16">
      <c r="A7" s="93"/>
      <c r="B7" s="4"/>
      <c r="C7" s="4"/>
      <c r="D7" s="4"/>
      <c r="E7" s="101" t="s">
        <v>693</v>
      </c>
      <c r="F7" s="62"/>
      <c r="G7" s="62"/>
      <c r="H7" s="102"/>
      <c r="J7" s="101" t="s">
        <v>257</v>
      </c>
      <c r="K7" s="62"/>
      <c r="L7" s="62"/>
      <c r="M7" s="102"/>
      <c r="O7" s="101" t="s">
        <v>235</v>
      </c>
      <c r="P7" s="62"/>
      <c r="Q7" s="62"/>
      <c r="R7" s="102"/>
      <c r="T7" s="101" t="s">
        <v>103</v>
      </c>
      <c r="U7" s="62"/>
      <c r="V7" s="62"/>
      <c r="W7" s="102"/>
      <c r="Y7" s="101" t="s">
        <v>389</v>
      </c>
      <c r="Z7" s="62"/>
      <c r="AA7" s="62"/>
      <c r="AB7" s="102"/>
      <c r="AD7" s="101" t="s">
        <v>442</v>
      </c>
      <c r="AE7" s="62"/>
      <c r="AF7" s="62"/>
      <c r="AG7" s="102"/>
      <c r="AI7" s="101" t="s">
        <v>622</v>
      </c>
      <c r="AJ7" s="62"/>
      <c r="AK7" s="62"/>
      <c r="AL7" s="102"/>
    </row>
    <row r="8" spans="1:38" ht="16">
      <c r="A8" s="93"/>
      <c r="B8" s="4"/>
      <c r="C8" s="4"/>
      <c r="D8" s="4"/>
      <c r="E8" s="101" t="s">
        <v>365</v>
      </c>
      <c r="F8" s="62"/>
      <c r="G8" s="62"/>
      <c r="H8" s="102"/>
      <c r="J8" s="101" t="s">
        <v>696</v>
      </c>
      <c r="K8" s="62"/>
      <c r="L8" s="62"/>
      <c r="M8" s="102"/>
      <c r="O8" s="101" t="s">
        <v>647</v>
      </c>
      <c r="P8" s="62"/>
      <c r="Q8" s="62"/>
      <c r="R8" s="102"/>
      <c r="T8" s="101" t="s">
        <v>635</v>
      </c>
      <c r="U8" s="62"/>
      <c r="V8" s="62"/>
      <c r="W8" s="102"/>
      <c r="Y8" s="101" t="s">
        <v>639</v>
      </c>
      <c r="Z8" s="62"/>
      <c r="AA8" s="62"/>
      <c r="AB8" s="102"/>
      <c r="AD8" s="101" t="s">
        <v>627</v>
      </c>
      <c r="AE8" s="62"/>
      <c r="AF8" s="62"/>
      <c r="AG8" s="102"/>
      <c r="AI8" s="101" t="s">
        <v>623</v>
      </c>
      <c r="AJ8" s="62"/>
      <c r="AK8" s="62"/>
      <c r="AL8" s="102"/>
    </row>
    <row r="9" spans="1:38" ht="16">
      <c r="A9" s="93"/>
      <c r="B9" s="4"/>
      <c r="C9" s="4"/>
      <c r="D9" s="4"/>
      <c r="E9" s="101"/>
      <c r="F9" s="62"/>
      <c r="G9" s="62"/>
      <c r="H9" s="102"/>
      <c r="J9" s="101"/>
      <c r="K9" s="62"/>
      <c r="L9" s="62"/>
      <c r="M9" s="102"/>
      <c r="O9" s="101"/>
      <c r="P9" s="62"/>
      <c r="Q9" s="62"/>
      <c r="R9" s="102"/>
      <c r="T9" s="101"/>
      <c r="U9" s="62"/>
      <c r="V9" s="62"/>
      <c r="W9" s="102"/>
      <c r="Y9" s="101"/>
      <c r="Z9" s="62"/>
      <c r="AA9" s="62"/>
      <c r="AB9" s="102"/>
      <c r="AD9" s="101"/>
      <c r="AE9" s="62"/>
      <c r="AF9" s="62"/>
      <c r="AG9" s="102"/>
      <c r="AI9" s="101"/>
      <c r="AJ9" s="62"/>
      <c r="AK9" s="62"/>
      <c r="AL9" s="102"/>
    </row>
    <row r="10" spans="1:38" ht="16">
      <c r="A10" s="93"/>
      <c r="B10" s="4"/>
      <c r="C10" s="4"/>
      <c r="D10" s="4"/>
      <c r="E10" s="101" t="s">
        <v>15</v>
      </c>
      <c r="F10" s="62"/>
      <c r="G10" s="62"/>
      <c r="H10" s="102"/>
      <c r="J10" s="101" t="s">
        <v>53</v>
      </c>
      <c r="K10" s="62"/>
      <c r="L10" s="62"/>
      <c r="M10" s="102"/>
      <c r="O10" s="101" t="s">
        <v>648</v>
      </c>
      <c r="P10" s="62"/>
      <c r="Q10" s="62"/>
      <c r="R10" s="102"/>
      <c r="T10" s="101" t="s">
        <v>646</v>
      </c>
      <c r="U10" s="62"/>
      <c r="V10" s="62"/>
      <c r="W10" s="102"/>
      <c r="Y10" s="101" t="s">
        <v>640</v>
      </c>
      <c r="Z10" s="62"/>
      <c r="AA10" s="62"/>
      <c r="AB10" s="102"/>
      <c r="AD10" s="101" t="s">
        <v>100</v>
      </c>
      <c r="AE10" s="62"/>
      <c r="AF10" s="62"/>
      <c r="AG10" s="102"/>
      <c r="AI10" s="101" t="s">
        <v>624</v>
      </c>
      <c r="AJ10" s="62"/>
      <c r="AK10" s="62"/>
      <c r="AL10" s="102"/>
    </row>
    <row r="11" spans="1:38" ht="16">
      <c r="A11" s="93"/>
      <c r="B11" s="4"/>
      <c r="C11" s="4"/>
      <c r="D11" s="4"/>
      <c r="E11" s="101" t="s">
        <v>694</v>
      </c>
      <c r="F11" s="62"/>
      <c r="G11" s="62"/>
      <c r="H11" s="102"/>
      <c r="J11" s="101" t="s">
        <v>692</v>
      </c>
      <c r="K11" s="62"/>
      <c r="L11" s="62"/>
      <c r="M11" s="102"/>
      <c r="O11" s="101" t="s">
        <v>649</v>
      </c>
      <c r="P11" s="62"/>
      <c r="Q11" s="62"/>
      <c r="R11" s="102"/>
      <c r="T11" s="101" t="s">
        <v>647</v>
      </c>
      <c r="U11" s="62"/>
      <c r="V11" s="62"/>
      <c r="W11" s="102"/>
      <c r="Y11" s="101" t="s">
        <v>629</v>
      </c>
      <c r="Z11" s="62"/>
      <c r="AA11" s="62"/>
      <c r="AB11" s="102"/>
      <c r="AD11" s="101" t="s">
        <v>628</v>
      </c>
      <c r="AE11" s="62"/>
      <c r="AF11" s="62"/>
      <c r="AG11" s="102"/>
      <c r="AI11" s="101" t="s">
        <v>620</v>
      </c>
      <c r="AJ11" s="62"/>
      <c r="AK11" s="62"/>
      <c r="AL11" s="102"/>
    </row>
    <row r="12" spans="1:38" ht="16">
      <c r="A12" s="93"/>
      <c r="B12" s="4"/>
      <c r="C12" s="4"/>
      <c r="D12" s="4"/>
      <c r="E12" s="101"/>
      <c r="F12" s="62"/>
      <c r="G12" s="62"/>
      <c r="H12" s="102"/>
      <c r="J12" s="101"/>
      <c r="K12" s="62"/>
      <c r="L12" s="62"/>
      <c r="M12" s="102"/>
      <c r="O12" s="101"/>
      <c r="P12" s="62"/>
      <c r="Q12" s="62"/>
      <c r="R12" s="102"/>
      <c r="T12" s="101"/>
      <c r="U12" s="62"/>
      <c r="V12" s="62"/>
      <c r="W12" s="102"/>
      <c r="Y12" s="101"/>
      <c r="Z12" s="62"/>
      <c r="AA12" s="62"/>
      <c r="AB12" s="102"/>
      <c r="AD12" s="101"/>
      <c r="AE12" s="62"/>
      <c r="AF12" s="62"/>
      <c r="AG12" s="102"/>
      <c r="AI12" s="101"/>
      <c r="AJ12" s="62"/>
      <c r="AK12" s="62"/>
      <c r="AL12" s="102"/>
    </row>
    <row r="13" spans="1:38" ht="16">
      <c r="A13" s="93"/>
      <c r="B13" s="4"/>
      <c r="C13" s="4"/>
      <c r="D13" s="4"/>
      <c r="E13" s="101" t="s">
        <v>695</v>
      </c>
      <c r="F13" s="62"/>
      <c r="G13" s="62"/>
      <c r="H13" s="102"/>
      <c r="J13" s="101" t="s">
        <v>697</v>
      </c>
      <c r="K13" s="62"/>
      <c r="L13" s="62"/>
      <c r="M13" s="102"/>
      <c r="O13" s="101" t="s">
        <v>650</v>
      </c>
      <c r="P13" s="62"/>
      <c r="Q13" s="62"/>
      <c r="R13" s="102"/>
      <c r="T13" s="101" t="s">
        <v>448</v>
      </c>
      <c r="U13" s="62"/>
      <c r="V13" s="62"/>
      <c r="W13" s="102"/>
      <c r="Y13" s="101" t="s">
        <v>641</v>
      </c>
      <c r="Z13" s="62"/>
      <c r="AA13" s="62"/>
      <c r="AB13" s="102"/>
      <c r="AD13" s="101" t="s">
        <v>453</v>
      </c>
      <c r="AE13" s="62"/>
      <c r="AF13" s="62"/>
      <c r="AG13" s="102"/>
      <c r="AI13" s="101" t="s">
        <v>625</v>
      </c>
      <c r="AJ13" s="62"/>
      <c r="AK13" s="62"/>
      <c r="AL13" s="102"/>
    </row>
    <row r="14" spans="1:38" ht="16">
      <c r="A14" s="93"/>
      <c r="B14" s="4"/>
      <c r="C14" s="4"/>
      <c r="D14" s="4"/>
      <c r="E14" s="101" t="s">
        <v>688</v>
      </c>
      <c r="F14" s="62"/>
      <c r="G14" s="62"/>
      <c r="H14" s="102"/>
      <c r="J14" s="101" t="s">
        <v>692</v>
      </c>
      <c r="K14" s="62"/>
      <c r="L14" s="62"/>
      <c r="M14" s="102"/>
      <c r="O14" s="101" t="s">
        <v>649</v>
      </c>
      <c r="P14" s="62"/>
      <c r="Q14" s="62"/>
      <c r="R14" s="102"/>
      <c r="T14" s="101" t="s">
        <v>633</v>
      </c>
      <c r="U14" s="62"/>
      <c r="V14" s="62"/>
      <c r="W14" s="102"/>
      <c r="Y14" s="101" t="s">
        <v>642</v>
      </c>
      <c r="Z14" s="62"/>
      <c r="AA14" s="62"/>
      <c r="AB14" s="102"/>
      <c r="AD14" s="101" t="s">
        <v>629</v>
      </c>
      <c r="AE14" s="62"/>
      <c r="AF14" s="62"/>
      <c r="AG14" s="102"/>
      <c r="AI14" s="101" t="s">
        <v>626</v>
      </c>
      <c r="AJ14" s="62"/>
      <c r="AK14" s="62"/>
      <c r="AL14" s="102"/>
    </row>
    <row r="15" spans="1:38" ht="16">
      <c r="A15" s="93"/>
      <c r="B15" s="4"/>
      <c r="C15" s="4"/>
      <c r="D15" s="4"/>
      <c r="E15" s="101"/>
      <c r="F15" s="62"/>
      <c r="G15" s="62"/>
      <c r="H15" s="102"/>
      <c r="J15" s="101"/>
      <c r="K15" s="62"/>
      <c r="L15" s="62"/>
      <c r="M15" s="102"/>
      <c r="O15" s="101"/>
      <c r="P15" s="62"/>
      <c r="Q15" s="62"/>
      <c r="R15" s="102"/>
      <c r="T15" s="101"/>
      <c r="U15" s="62"/>
      <c r="V15" s="62"/>
      <c r="W15" s="102"/>
      <c r="Y15" s="101"/>
      <c r="Z15" s="62"/>
      <c r="AA15" s="62"/>
      <c r="AB15" s="102"/>
      <c r="AD15" s="101"/>
      <c r="AE15" s="62"/>
      <c r="AF15" s="62"/>
      <c r="AG15" s="102"/>
      <c r="AI15" s="101"/>
      <c r="AJ15" s="62"/>
      <c r="AK15" s="62"/>
      <c r="AL15" s="102"/>
    </row>
    <row r="16" spans="1:38">
      <c r="C16" s="10"/>
      <c r="D16" s="10"/>
      <c r="E16" s="103" t="s">
        <v>3</v>
      </c>
      <c r="F16" s="104">
        <v>1.53</v>
      </c>
      <c r="G16" s="105"/>
      <c r="H16" s="106"/>
      <c r="J16" s="103" t="s">
        <v>3</v>
      </c>
      <c r="K16" s="104">
        <f>AVERAGE(1.54,1.53,1.53)</f>
        <v>1.5333333333333334</v>
      </c>
      <c r="L16" s="105"/>
      <c r="M16" s="106"/>
      <c r="O16" s="103" t="s">
        <v>3</v>
      </c>
      <c r="P16" s="104">
        <f>AVERAGE(1.56,1.57,1.57)</f>
        <v>1.5666666666666667</v>
      </c>
      <c r="Q16" s="105"/>
      <c r="R16" s="106"/>
      <c r="T16" s="103" t="s">
        <v>3</v>
      </c>
      <c r="U16" s="104">
        <f>AVERAGE(1.56,1.56,1.58)</f>
        <v>1.5666666666666667</v>
      </c>
      <c r="V16" s="105"/>
      <c r="W16" s="106"/>
      <c r="Y16" s="103" t="s">
        <v>3</v>
      </c>
      <c r="Z16" s="104">
        <f>AVERAGE(1.55,1.59,1.58)</f>
        <v>1.5733333333333335</v>
      </c>
      <c r="AA16" s="105"/>
      <c r="AB16" s="106"/>
      <c r="AD16" s="103" t="s">
        <v>3</v>
      </c>
      <c r="AE16" s="104">
        <f>AVERAGE(1.62,1.61,1.59)</f>
        <v>1.6066666666666667</v>
      </c>
      <c r="AF16" s="105"/>
      <c r="AG16" s="106"/>
      <c r="AI16" s="103" t="s">
        <v>3</v>
      </c>
      <c r="AJ16" s="104">
        <f>AVERAGE(1.65,1.68,1.67)</f>
        <v>1.6666666666666667</v>
      </c>
      <c r="AK16" s="105"/>
      <c r="AL16" s="106"/>
    </row>
    <row r="17" spans="1:37" ht="21">
      <c r="A17" s="10"/>
      <c r="B17" s="10"/>
      <c r="C17" s="10"/>
      <c r="D17" s="62"/>
      <c r="E17" s="19"/>
      <c r="F17" s="94"/>
      <c r="G17" s="19"/>
      <c r="H17" s="66"/>
      <c r="I17" s="19"/>
      <c r="J17" s="87"/>
      <c r="K17" s="19"/>
      <c r="L17" s="67"/>
      <c r="M17" s="67" t="s">
        <v>39</v>
      </c>
      <c r="N17" s="19"/>
      <c r="O17" s="19"/>
      <c r="P17" s="111">
        <v>45874</v>
      </c>
      <c r="Q17" s="19"/>
      <c r="R17" s="66"/>
      <c r="S17" s="66"/>
      <c r="T17" s="19"/>
      <c r="U17" s="94"/>
      <c r="V17" s="19"/>
      <c r="W17" s="66"/>
      <c r="X17" s="66"/>
      <c r="Y17" s="87"/>
      <c r="Z17" s="19"/>
      <c r="AA17" s="88"/>
      <c r="AD17" s="87"/>
      <c r="AE17" s="19"/>
      <c r="AF17" s="88"/>
      <c r="AI17" s="87"/>
      <c r="AJ17" s="19"/>
      <c r="AK17" s="88"/>
    </row>
    <row r="18" spans="1:37">
      <c r="E18" s="2"/>
      <c r="F18" s="5" t="s">
        <v>221</v>
      </c>
      <c r="G18" s="2"/>
      <c r="H18" s="51"/>
      <c r="J18" s="2"/>
      <c r="K18" s="5" t="s">
        <v>361</v>
      </c>
      <c r="L18" s="2"/>
      <c r="M18" s="51"/>
      <c r="O18" s="2"/>
      <c r="P18" s="5" t="s">
        <v>473</v>
      </c>
      <c r="Q18" s="2"/>
      <c r="R18" s="63"/>
      <c r="S18" s="51"/>
      <c r="T18" s="2"/>
      <c r="U18" s="5" t="s">
        <v>475</v>
      </c>
      <c r="V18" s="2"/>
      <c r="W18" s="51"/>
      <c r="X18" s="51"/>
      <c r="Y18" s="2"/>
      <c r="Z18" s="5" t="s">
        <v>581</v>
      </c>
      <c r="AA18" s="2"/>
      <c r="AD18" s="2"/>
      <c r="AE18" s="5" t="s">
        <v>590</v>
      </c>
      <c r="AF18" s="2"/>
      <c r="AI18" s="2"/>
      <c r="AJ18" s="5" t="s">
        <v>591</v>
      </c>
      <c r="AK18" s="2"/>
    </row>
    <row r="19" spans="1:37">
      <c r="E19" s="1" t="s">
        <v>612</v>
      </c>
      <c r="H19" s="51"/>
      <c r="J19" s="1" t="s">
        <v>609</v>
      </c>
      <c r="M19" s="51"/>
      <c r="O19" s="1" t="s">
        <v>669</v>
      </c>
      <c r="R19" s="51"/>
      <c r="S19" s="51"/>
      <c r="T19" s="1" t="s">
        <v>664</v>
      </c>
      <c r="W19" s="51"/>
      <c r="X19" s="51"/>
      <c r="Y19" s="1" t="s">
        <v>610</v>
      </c>
      <c r="AD19" s="1" t="s">
        <v>662</v>
      </c>
      <c r="AI19" s="1" t="s">
        <v>102</v>
      </c>
    </row>
    <row r="20" spans="1:37">
      <c r="E20" s="1" t="s">
        <v>613</v>
      </c>
      <c r="H20" s="51"/>
      <c r="J20" s="1" t="s">
        <v>253</v>
      </c>
      <c r="M20" s="51"/>
      <c r="O20" s="1" t="s">
        <v>487</v>
      </c>
      <c r="R20" s="51"/>
      <c r="S20" s="51"/>
      <c r="T20" s="1" t="s">
        <v>665</v>
      </c>
      <c r="W20" s="51"/>
      <c r="X20" s="51"/>
      <c r="Y20" s="1" t="s">
        <v>529</v>
      </c>
      <c r="AD20" s="1" t="s">
        <v>530</v>
      </c>
      <c r="AI20" s="1" t="s">
        <v>527</v>
      </c>
    </row>
    <row r="21" spans="1:37">
      <c r="H21" s="51"/>
      <c r="M21" s="51"/>
      <c r="R21" s="51"/>
      <c r="S21" s="51"/>
      <c r="W21" s="51"/>
      <c r="X21" s="51"/>
    </row>
    <row r="22" spans="1:37">
      <c r="E22" s="1" t="s">
        <v>614</v>
      </c>
      <c r="H22" s="51"/>
      <c r="J22" s="1" t="s">
        <v>610</v>
      </c>
      <c r="M22" s="51"/>
      <c r="O22" s="1" t="s">
        <v>66</v>
      </c>
      <c r="R22" s="51"/>
      <c r="S22" s="51"/>
      <c r="T22" s="1" t="s">
        <v>666</v>
      </c>
      <c r="W22" s="51"/>
      <c r="X22" s="51"/>
      <c r="Y22" s="1" t="s">
        <v>663</v>
      </c>
      <c r="AD22" s="1" t="s">
        <v>553</v>
      </c>
      <c r="AI22" s="1" t="s">
        <v>444</v>
      </c>
    </row>
    <row r="23" spans="1:37">
      <c r="E23" s="1" t="s">
        <v>514</v>
      </c>
      <c r="H23" s="51"/>
      <c r="J23" s="1" t="s">
        <v>267</v>
      </c>
      <c r="M23" s="51"/>
      <c r="O23" s="1" t="s">
        <v>670</v>
      </c>
      <c r="R23" s="51"/>
      <c r="S23" s="51"/>
      <c r="T23" s="1" t="s">
        <v>659</v>
      </c>
      <c r="W23" s="51"/>
      <c r="X23" s="51"/>
      <c r="Y23" s="1" t="s">
        <v>529</v>
      </c>
      <c r="AD23" s="1" t="s">
        <v>530</v>
      </c>
      <c r="AI23" s="1" t="s">
        <v>660</v>
      </c>
    </row>
    <row r="24" spans="1:37">
      <c r="H24" s="51"/>
      <c r="M24" s="51"/>
      <c r="R24" s="51"/>
      <c r="S24" s="51"/>
      <c r="W24" s="51"/>
      <c r="X24" s="51"/>
    </row>
    <row r="25" spans="1:37">
      <c r="E25" s="1" t="s">
        <v>615</v>
      </c>
      <c r="H25" s="51"/>
      <c r="J25" s="1" t="s">
        <v>611</v>
      </c>
      <c r="M25" s="51"/>
      <c r="O25" s="1" t="s">
        <v>671</v>
      </c>
      <c r="R25" s="51"/>
      <c r="S25" s="51"/>
      <c r="T25" s="1" t="s">
        <v>667</v>
      </c>
      <c r="W25" s="51"/>
      <c r="X25" s="51"/>
      <c r="Y25" s="1" t="s">
        <v>105</v>
      </c>
      <c r="AD25" s="1" t="s">
        <v>412</v>
      </c>
      <c r="AI25" s="1" t="s">
        <v>661</v>
      </c>
    </row>
    <row r="26" spans="1:37">
      <c r="E26" s="1" t="s">
        <v>616</v>
      </c>
      <c r="H26" s="51"/>
      <c r="J26" s="1" t="s">
        <v>196</v>
      </c>
      <c r="M26" s="51"/>
      <c r="O26" s="1" t="s">
        <v>672</v>
      </c>
      <c r="R26" s="51"/>
      <c r="S26" s="51"/>
      <c r="T26" s="1" t="s">
        <v>655</v>
      </c>
      <c r="W26" s="51"/>
      <c r="X26" s="51"/>
      <c r="Y26" s="1" t="s">
        <v>529</v>
      </c>
      <c r="AD26" s="1" t="s">
        <v>668</v>
      </c>
      <c r="AI26" s="1" t="s">
        <v>527</v>
      </c>
    </row>
    <row r="27" spans="1:37">
      <c r="H27" s="51"/>
      <c r="M27" s="51"/>
      <c r="R27" s="51"/>
      <c r="S27" s="51"/>
      <c r="W27" s="51"/>
      <c r="X27" s="51"/>
    </row>
    <row r="28" spans="1:37" s="48" customFormat="1">
      <c r="E28" s="115" t="s">
        <v>3</v>
      </c>
      <c r="F28" s="114">
        <f>AVERAGE(0.87,0.89,0.886)</f>
        <v>0.88200000000000001</v>
      </c>
      <c r="H28" s="116"/>
      <c r="J28" s="115" t="s">
        <v>3</v>
      </c>
      <c r="K28" s="114">
        <f>AVERAGE(0.68,0.69,0.7)</f>
        <v>0.69000000000000006</v>
      </c>
      <c r="M28" s="117"/>
      <c r="O28" s="115" t="s">
        <v>3</v>
      </c>
      <c r="P28" s="114">
        <f>AVERAGE(0.64,0.64,0.65)</f>
        <v>0.64333333333333342</v>
      </c>
      <c r="R28" s="118"/>
      <c r="S28" s="116"/>
      <c r="T28" s="115" t="s">
        <v>3</v>
      </c>
      <c r="U28" s="114">
        <f>AVERAGE(0.51,0.51,0.53)</f>
        <v>0.51666666666666672</v>
      </c>
      <c r="W28" s="116"/>
      <c r="X28" s="116"/>
      <c r="Y28" s="115" t="s">
        <v>3</v>
      </c>
      <c r="Z28" s="114">
        <f>AVERAGE(0.54,0.54,0.54)</f>
        <v>0.54</v>
      </c>
      <c r="AD28" s="115" t="s">
        <v>3</v>
      </c>
      <c r="AE28" s="114">
        <f>AVERAGE(0.55,0.55,0.55)</f>
        <v>0.55000000000000004</v>
      </c>
      <c r="AI28" s="115" t="s">
        <v>3</v>
      </c>
      <c r="AJ28" s="114">
        <f>AVERAGE(0.5,0.5,0.49)</f>
        <v>0.49666666666666665</v>
      </c>
    </row>
    <row r="29" spans="1:37" s="47" customFormat="1">
      <c r="E29" s="47" t="s">
        <v>596</v>
      </c>
      <c r="F29" s="126">
        <f>_xlfn.STDEV.S(0.005,0.005,0.006)</f>
        <v>5.773502691896258E-4</v>
      </c>
      <c r="J29" s="47" t="s">
        <v>596</v>
      </c>
      <c r="K29" s="128">
        <f>_xlfn.STDEV.S(0.006,0.006,0.006)</f>
        <v>1.0622968402425924E-18</v>
      </c>
      <c r="O29" s="47" t="s">
        <v>596</v>
      </c>
      <c r="P29" s="126">
        <f>_xlfn.STDEV.S(0.006,0.008,0.008)</f>
        <v>1.1547005383792516E-3</v>
      </c>
      <c r="T29" s="47" t="s">
        <v>596</v>
      </c>
      <c r="U29" s="129">
        <f>_xlfn.STDEV.S(0.006,0.006,0.007)</f>
        <v>5.773502691896258E-4</v>
      </c>
      <c r="Y29" s="47" t="s">
        <v>596</v>
      </c>
      <c r="Z29" s="129">
        <f>_xlfn.STDEV.S(0.006,0.007,0.006)</f>
        <v>5.773502691896258E-4</v>
      </c>
      <c r="AD29" s="47" t="s">
        <v>596</v>
      </c>
      <c r="AE29" s="129">
        <f>_xlfn.STDEV.S(0.006,0.006,0.008)</f>
        <v>1.1547005383792516E-3</v>
      </c>
      <c r="AI29" s="47" t="s">
        <v>596</v>
      </c>
      <c r="AJ29" s="129">
        <f>_xlfn.STDEV.S(0.006,0.006,0.006)</f>
        <v>1.0622968402425924E-18</v>
      </c>
    </row>
    <row r="30" spans="1:37" ht="21">
      <c r="E30" s="16"/>
      <c r="F30" s="16"/>
      <c r="G30" s="16"/>
      <c r="H30" s="124"/>
      <c r="I30" s="16"/>
      <c r="J30" s="125"/>
      <c r="K30" s="16"/>
      <c r="L30" s="16"/>
      <c r="M30" s="125" t="s">
        <v>39</v>
      </c>
      <c r="N30" s="16"/>
      <c r="O30" s="16"/>
      <c r="P30" s="111">
        <v>45875</v>
      </c>
      <c r="Q30" s="16"/>
      <c r="R30" s="124"/>
      <c r="S30" s="124"/>
      <c r="T30" s="16"/>
      <c r="U30" s="16"/>
      <c r="V30" s="16"/>
      <c r="W30" s="124"/>
      <c r="X30" s="124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</row>
    <row r="31" spans="1:37">
      <c r="E31" s="2"/>
      <c r="F31" s="5" t="s">
        <v>222</v>
      </c>
      <c r="G31" s="2"/>
      <c r="H31" s="51"/>
      <c r="J31" s="2"/>
      <c r="K31" s="5" t="s">
        <v>360</v>
      </c>
      <c r="L31" s="2"/>
      <c r="M31" s="51"/>
      <c r="O31" s="2"/>
      <c r="P31" s="5" t="s">
        <v>474</v>
      </c>
      <c r="Q31" s="2"/>
      <c r="R31" s="63"/>
      <c r="S31" s="51"/>
      <c r="T31" s="2"/>
      <c r="U31" s="5" t="s">
        <v>476</v>
      </c>
      <c r="V31" s="2"/>
      <c r="W31" s="51"/>
      <c r="X31" s="51"/>
      <c r="Y31" s="2"/>
      <c r="Z31" s="5" t="s">
        <v>582</v>
      </c>
      <c r="AA31" s="2"/>
      <c r="AD31" s="2"/>
      <c r="AE31" s="5" t="s">
        <v>604</v>
      </c>
      <c r="AF31" s="2"/>
      <c r="AI31" s="2"/>
      <c r="AJ31" s="5" t="s">
        <v>605</v>
      </c>
      <c r="AK31" s="2"/>
    </row>
    <row r="32" spans="1:37">
      <c r="E32" s="1" t="s">
        <v>141</v>
      </c>
      <c r="H32" s="51"/>
      <c r="J32" s="1" t="s">
        <v>750</v>
      </c>
      <c r="M32" s="51"/>
      <c r="O32" s="1" t="s">
        <v>724</v>
      </c>
      <c r="R32" s="51"/>
      <c r="S32" s="51"/>
      <c r="T32" s="1" t="s">
        <v>721</v>
      </c>
      <c r="W32" s="51"/>
      <c r="X32" s="51"/>
      <c r="Y32" s="1" t="s">
        <v>292</v>
      </c>
      <c r="AD32" s="1" t="s">
        <v>717</v>
      </c>
      <c r="AI32" s="1" t="s">
        <v>390</v>
      </c>
    </row>
    <row r="33" spans="5:37">
      <c r="E33" s="1" t="s">
        <v>179</v>
      </c>
      <c r="H33" s="51"/>
      <c r="J33" s="1" t="s">
        <v>261</v>
      </c>
      <c r="M33" s="51"/>
      <c r="O33" s="1" t="s">
        <v>725</v>
      </c>
      <c r="R33" s="51"/>
      <c r="S33" s="51"/>
      <c r="T33" s="1" t="s">
        <v>705</v>
      </c>
      <c r="W33" s="51"/>
      <c r="X33" s="51"/>
      <c r="Y33" s="1" t="s">
        <v>348</v>
      </c>
      <c r="AD33" s="1" t="s">
        <v>718</v>
      </c>
      <c r="AI33" s="1" t="s">
        <v>715</v>
      </c>
    </row>
    <row r="34" spans="5:37">
      <c r="H34" s="51"/>
      <c r="M34" s="51"/>
      <c r="R34" s="51"/>
      <c r="S34" s="51"/>
      <c r="W34" s="51"/>
      <c r="X34" s="51"/>
    </row>
    <row r="35" spans="5:37" s="10" customFormat="1">
      <c r="E35" s="10" t="s">
        <v>753</v>
      </c>
      <c r="H35" s="51"/>
      <c r="J35" s="10" t="s">
        <v>751</v>
      </c>
      <c r="M35" s="51"/>
      <c r="O35" s="10" t="s">
        <v>726</v>
      </c>
      <c r="R35" s="51"/>
      <c r="S35" s="51"/>
      <c r="T35" s="10" t="s">
        <v>112</v>
      </c>
      <c r="W35" s="51"/>
      <c r="X35" s="51"/>
      <c r="Y35" s="10" t="s">
        <v>470</v>
      </c>
      <c r="AD35" s="10" t="s">
        <v>719</v>
      </c>
      <c r="AI35" s="10" t="s">
        <v>716</v>
      </c>
    </row>
    <row r="36" spans="5:37">
      <c r="E36" s="1" t="s">
        <v>503</v>
      </c>
      <c r="H36" s="51"/>
      <c r="J36" s="1" t="s">
        <v>234</v>
      </c>
      <c r="M36" s="51"/>
      <c r="O36" s="1" t="s">
        <v>344</v>
      </c>
      <c r="R36" s="51"/>
      <c r="S36" s="51"/>
      <c r="T36" s="1" t="s">
        <v>710</v>
      </c>
      <c r="W36" s="51"/>
      <c r="X36" s="51"/>
      <c r="Y36" s="1" t="s">
        <v>673</v>
      </c>
      <c r="AD36" s="1" t="s">
        <v>720</v>
      </c>
      <c r="AI36" s="1" t="s">
        <v>708</v>
      </c>
    </row>
    <row r="37" spans="5:37">
      <c r="H37" s="51"/>
      <c r="M37" s="51"/>
      <c r="R37" s="51"/>
      <c r="S37" s="51"/>
      <c r="W37" s="51"/>
      <c r="X37" s="51"/>
    </row>
    <row r="38" spans="5:37">
      <c r="E38" s="1" t="s">
        <v>754</v>
      </c>
      <c r="H38" s="51"/>
      <c r="J38" s="1" t="s">
        <v>752</v>
      </c>
      <c r="M38" s="51"/>
      <c r="O38" s="1" t="s">
        <v>727</v>
      </c>
      <c r="R38" s="51"/>
      <c r="S38" s="51"/>
      <c r="T38" s="1" t="s">
        <v>722</v>
      </c>
      <c r="W38" s="51"/>
      <c r="X38" s="51"/>
      <c r="Y38" s="1" t="s">
        <v>663</v>
      </c>
      <c r="AD38" s="1" t="s">
        <v>608</v>
      </c>
      <c r="AI38" s="1" t="s">
        <v>693</v>
      </c>
    </row>
    <row r="39" spans="5:37">
      <c r="E39" s="1" t="s">
        <v>18</v>
      </c>
      <c r="H39" s="51"/>
      <c r="J39" s="1" t="s">
        <v>234</v>
      </c>
      <c r="M39" s="51"/>
      <c r="O39" s="1" t="s">
        <v>245</v>
      </c>
      <c r="R39" s="51"/>
      <c r="S39" s="51"/>
      <c r="T39" s="1" t="s">
        <v>723</v>
      </c>
      <c r="W39" s="51"/>
      <c r="X39" s="51"/>
      <c r="Y39" s="1" t="s">
        <v>520</v>
      </c>
      <c r="AD39" s="1" t="s">
        <v>714</v>
      </c>
      <c r="AI39" s="1" t="s">
        <v>655</v>
      </c>
    </row>
    <row r="40" spans="5:37">
      <c r="H40" s="51"/>
      <c r="M40" s="51"/>
      <c r="R40" s="51"/>
      <c r="S40" s="51"/>
      <c r="W40" s="51"/>
      <c r="X40" s="51"/>
    </row>
    <row r="41" spans="5:37" s="48" customFormat="1">
      <c r="E41" s="115" t="s">
        <v>3</v>
      </c>
      <c r="F41" s="114">
        <f>AVERAGE(0.99,0.91,0.91)</f>
        <v>0.93666666666666665</v>
      </c>
      <c r="H41" s="116"/>
      <c r="J41" s="115" t="s">
        <v>3</v>
      </c>
      <c r="K41" s="114">
        <f>AVERAGE(0.71,0.73,0.73)</f>
        <v>0.72333333333333327</v>
      </c>
      <c r="M41" s="117"/>
      <c r="O41" s="115" t="s">
        <v>3</v>
      </c>
      <c r="P41" s="114">
        <f>AVERAGE(0.69,0.65,0.66)</f>
        <v>0.66666666666666663</v>
      </c>
      <c r="R41" s="118"/>
      <c r="S41" s="116"/>
      <c r="T41" s="115" t="s">
        <v>3</v>
      </c>
      <c r="U41" s="114">
        <f>AVERAGE(0.57,0.56,0.67)</f>
        <v>0.6</v>
      </c>
      <c r="W41" s="116"/>
      <c r="X41" s="116"/>
      <c r="Y41" s="115" t="s">
        <v>3</v>
      </c>
      <c r="Z41" s="114">
        <f>AVERAGE(0.59,0.59,0.62)</f>
        <v>0.6</v>
      </c>
      <c r="AD41" s="115" t="s">
        <v>3</v>
      </c>
      <c r="AE41" s="114">
        <f>AVERAGE(0.59,0.58,0.56)</f>
        <v>0.57666666666666666</v>
      </c>
      <c r="AI41" s="115" t="s">
        <v>3</v>
      </c>
      <c r="AJ41" s="114">
        <f>AVERAGE(0.53,0.58,0.53)</f>
        <v>0.54666666666666663</v>
      </c>
    </row>
    <row r="42" spans="5:37" s="48" customFormat="1">
      <c r="E42" s="48" t="s">
        <v>596</v>
      </c>
      <c r="F42" s="126">
        <f>_xlfn.STDEV.S(0.008,0.009,0.009)</f>
        <v>5.7735026918962536E-4</v>
      </c>
      <c r="J42" s="48" t="s">
        <v>596</v>
      </c>
      <c r="K42" s="128">
        <f>_xlfn.STDEV.S(0.006,0.006,0.006)</f>
        <v>1.0622968402425924E-18</v>
      </c>
      <c r="O42" s="48" t="s">
        <v>596</v>
      </c>
      <c r="P42" s="129">
        <f>_xlfn.STDEV.S(0.007,0.007,0.008)</f>
        <v>5.773502691896258E-4</v>
      </c>
      <c r="T42" s="48" t="s">
        <v>596</v>
      </c>
      <c r="U42" s="129">
        <f>_xlfn.STDEV.S(0.008,0.007,0.007)</f>
        <v>5.773502691896258E-4</v>
      </c>
      <c r="Y42" s="48" t="s">
        <v>596</v>
      </c>
      <c r="Z42" s="129">
        <f>_xlfn.STDEV.S(0.006,0.007,0.006)</f>
        <v>5.773502691896258E-4</v>
      </c>
      <c r="AD42" s="48" t="s">
        <v>596</v>
      </c>
      <c r="AE42" s="129">
        <f>_xlfn.STDEV.S(0.008,0.006,0.006)</f>
        <v>1.1547005383792516E-3</v>
      </c>
      <c r="AI42" s="48" t="s">
        <v>596</v>
      </c>
      <c r="AJ42" s="128">
        <f>_xlfn.STDEV.S(0.006,0.007,0.007)</f>
        <v>5.773502691896258E-4</v>
      </c>
    </row>
    <row r="43" spans="5:37" ht="21">
      <c r="E43" s="16"/>
      <c r="F43" s="16"/>
      <c r="G43" s="16"/>
      <c r="H43" s="124"/>
      <c r="I43" s="16"/>
      <c r="J43" s="125"/>
      <c r="K43" s="16"/>
      <c r="L43" s="16"/>
      <c r="M43" s="125" t="s">
        <v>39</v>
      </c>
      <c r="N43" s="16"/>
      <c r="O43" s="16"/>
      <c r="P43" s="111">
        <v>45894</v>
      </c>
      <c r="Q43" s="16"/>
      <c r="R43" s="124"/>
      <c r="S43" s="124"/>
      <c r="T43" s="16"/>
      <c r="U43" s="16"/>
      <c r="V43" s="16"/>
      <c r="W43" s="124"/>
      <c r="X43" s="124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</row>
    <row r="44" spans="5:37">
      <c r="E44" s="2"/>
      <c r="F44" s="5" t="s">
        <v>222</v>
      </c>
      <c r="G44" s="2"/>
      <c r="H44" s="51"/>
      <c r="J44" s="2"/>
      <c r="K44" s="5" t="s">
        <v>360</v>
      </c>
      <c r="L44" s="2"/>
      <c r="M44" s="51"/>
      <c r="O44" s="2"/>
      <c r="P44" s="5" t="s">
        <v>474</v>
      </c>
      <c r="Q44" s="2"/>
      <c r="R44" s="63"/>
      <c r="S44" s="51"/>
      <c r="T44" s="2"/>
      <c r="U44" s="5" t="s">
        <v>476</v>
      </c>
      <c r="V44" s="2"/>
      <c r="W44" s="51"/>
      <c r="X44" s="51"/>
      <c r="Y44" s="2"/>
      <c r="Z44" s="5" t="s">
        <v>582</v>
      </c>
      <c r="AA44" s="2"/>
      <c r="AD44" s="2"/>
      <c r="AE44" s="5" t="s">
        <v>604</v>
      </c>
      <c r="AF44" s="2"/>
      <c r="AI44" s="2"/>
      <c r="AJ44" s="5" t="s">
        <v>605</v>
      </c>
      <c r="AK44" s="2"/>
    </row>
    <row r="45" spans="5:37">
      <c r="E45" s="1" t="s">
        <v>608</v>
      </c>
      <c r="H45" s="51"/>
      <c r="J45" s="1" t="s">
        <v>689</v>
      </c>
      <c r="M45" s="51"/>
      <c r="O45" s="1" t="s">
        <v>362</v>
      </c>
      <c r="R45" s="51"/>
      <c r="S45" s="51"/>
      <c r="T45" s="1" t="s">
        <v>286</v>
      </c>
      <c r="W45" s="51"/>
      <c r="X45" s="51"/>
      <c r="Y45" s="1" t="s">
        <v>284</v>
      </c>
      <c r="AD45" s="1" t="s">
        <v>773</v>
      </c>
    </row>
    <row r="46" spans="5:37">
      <c r="E46" s="1" t="s">
        <v>767</v>
      </c>
      <c r="H46" s="51"/>
      <c r="J46" s="1" t="s">
        <v>764</v>
      </c>
      <c r="M46" s="51"/>
      <c r="O46" s="1" t="s">
        <v>179</v>
      </c>
      <c r="R46" s="51"/>
      <c r="S46" s="51"/>
      <c r="T46" s="1" t="s">
        <v>22</v>
      </c>
      <c r="W46" s="51"/>
      <c r="X46" s="51"/>
      <c r="Y46" s="1" t="s">
        <v>181</v>
      </c>
      <c r="AD46" s="1" t="s">
        <v>16</v>
      </c>
    </row>
    <row r="47" spans="5:37">
      <c r="H47" s="51"/>
      <c r="M47" s="51"/>
      <c r="R47" s="51"/>
      <c r="S47" s="51"/>
      <c r="W47" s="51"/>
      <c r="X47" s="51"/>
    </row>
    <row r="48" spans="5:37" s="10" customFormat="1">
      <c r="E48" s="10" t="s">
        <v>732</v>
      </c>
      <c r="H48" s="51"/>
      <c r="J48" s="10" t="s">
        <v>765</v>
      </c>
      <c r="M48" s="51"/>
      <c r="O48" s="10" t="s">
        <v>339</v>
      </c>
      <c r="R48" s="51"/>
      <c r="S48" s="51"/>
      <c r="T48" s="10" t="s">
        <v>772</v>
      </c>
      <c r="W48" s="51"/>
      <c r="X48" s="51"/>
      <c r="Y48" s="10" t="s">
        <v>465</v>
      </c>
      <c r="AD48" s="10" t="s">
        <v>646</v>
      </c>
    </row>
    <row r="49" spans="5:37">
      <c r="E49" s="1" t="s">
        <v>768</v>
      </c>
      <c r="H49" s="51"/>
      <c r="J49" s="1" t="s">
        <v>766</v>
      </c>
      <c r="M49" s="51"/>
      <c r="O49" s="1" t="s">
        <v>771</v>
      </c>
      <c r="R49" s="51"/>
      <c r="S49" s="51"/>
      <c r="T49" s="1" t="s">
        <v>210</v>
      </c>
      <c r="W49" s="51"/>
      <c r="X49" s="51"/>
      <c r="Y49" s="1" t="s">
        <v>503</v>
      </c>
      <c r="AD49" s="1" t="s">
        <v>16</v>
      </c>
    </row>
    <row r="50" spans="5:37">
      <c r="H50" s="51"/>
      <c r="M50" s="51"/>
      <c r="R50" s="51"/>
      <c r="S50" s="51"/>
      <c r="W50" s="51"/>
      <c r="X50" s="51"/>
    </row>
    <row r="51" spans="5:37">
      <c r="E51" s="1" t="s">
        <v>769</v>
      </c>
      <c r="H51" s="51"/>
      <c r="J51" s="1" t="s">
        <v>553</v>
      </c>
      <c r="M51" s="51"/>
      <c r="O51" s="1" t="s">
        <v>689</v>
      </c>
      <c r="R51" s="51"/>
      <c r="S51" s="51"/>
      <c r="T51" s="1" t="s">
        <v>233</v>
      </c>
      <c r="W51" s="51"/>
      <c r="X51" s="51"/>
      <c r="Y51" s="1" t="s">
        <v>112</v>
      </c>
      <c r="AD51" s="1" t="s">
        <v>531</v>
      </c>
    </row>
    <row r="52" spans="5:37">
      <c r="E52" s="1" t="s">
        <v>770</v>
      </c>
      <c r="H52" s="51"/>
      <c r="J52" s="1" t="s">
        <v>89</v>
      </c>
      <c r="M52" s="51"/>
      <c r="O52" s="1" t="s">
        <v>764</v>
      </c>
      <c r="R52" s="51"/>
      <c r="S52" s="51"/>
      <c r="T52" s="1" t="s">
        <v>73</v>
      </c>
      <c r="W52" s="51"/>
      <c r="X52" s="51"/>
      <c r="Y52" s="1" t="s">
        <v>499</v>
      </c>
      <c r="AD52" s="1" t="s">
        <v>774</v>
      </c>
    </row>
    <row r="53" spans="5:37">
      <c r="H53" s="51"/>
      <c r="M53" s="51"/>
      <c r="R53" s="51"/>
      <c r="S53" s="51"/>
      <c r="W53" s="51"/>
      <c r="X53" s="51"/>
    </row>
    <row r="54" spans="5:37" s="48" customFormat="1">
      <c r="E54" s="115" t="s">
        <v>3</v>
      </c>
      <c r="F54" s="114">
        <f>AVERAGE(1.24,1.21,1.28)</f>
        <v>1.2433333333333334</v>
      </c>
      <c r="H54" s="116"/>
      <c r="J54" s="115" t="s">
        <v>3</v>
      </c>
      <c r="K54" s="114">
        <f>AVERAGE(1.05,1.08,1.04)</f>
        <v>1.0566666666666666</v>
      </c>
      <c r="M54" s="117"/>
      <c r="O54" s="115" t="s">
        <v>3</v>
      </c>
      <c r="P54" s="114">
        <f>AVERAGE(0.99,0.97,1.05)</f>
        <v>1.0033333333333332</v>
      </c>
      <c r="R54" s="118"/>
      <c r="S54" s="116"/>
      <c r="T54" s="115" t="s">
        <v>3</v>
      </c>
      <c r="U54" s="114">
        <f>AVERAGE(0.86,0.93,0.93)</f>
        <v>0.90666666666666673</v>
      </c>
      <c r="W54" s="116"/>
      <c r="X54" s="116"/>
      <c r="Y54" s="115" t="s">
        <v>3</v>
      </c>
      <c r="Z54" s="114">
        <f>AVERAGE(0.88,0.91,1.11)</f>
        <v>0.96666666666666679</v>
      </c>
      <c r="AD54" s="115" t="s">
        <v>3</v>
      </c>
      <c r="AE54" s="114">
        <f>AVERAGE(0.86,0.86,0.88)</f>
        <v>0.8666666666666667</v>
      </c>
      <c r="AI54" s="115" t="s">
        <v>3</v>
      </c>
      <c r="AJ54" s="114">
        <f>AVERAGE(0.53,0.58,0.53)</f>
        <v>0.54666666666666663</v>
      </c>
    </row>
    <row r="55" spans="5:37" s="48" customFormat="1">
      <c r="E55" s="48" t="s">
        <v>596</v>
      </c>
      <c r="F55" s="126">
        <f>_xlfn.STDEV.S(0.008,0.007,0.007)</f>
        <v>5.773502691896258E-4</v>
      </c>
      <c r="J55" s="48" t="s">
        <v>596</v>
      </c>
      <c r="K55" s="128">
        <f>_xlfn.STDEV.S(0.007,0.007,0.007)</f>
        <v>0</v>
      </c>
      <c r="O55" s="48" t="s">
        <v>596</v>
      </c>
      <c r="P55" s="129">
        <f>_xlfn.STDEV.S(0.007,0.009,0.008)</f>
        <v>9.9999999999999959E-4</v>
      </c>
      <c r="T55" s="48" t="s">
        <v>596</v>
      </c>
      <c r="U55" s="129">
        <f>_xlfn.STDEV.S(0.008,0.007,0.009)</f>
        <v>9.9999999999999959E-4</v>
      </c>
      <c r="Y55" s="48" t="s">
        <v>596</v>
      </c>
      <c r="Z55" s="129">
        <f>_xlfn.STDEV.S(0.008,0.008,0.008)</f>
        <v>0</v>
      </c>
      <c r="AD55" s="48" t="s">
        <v>596</v>
      </c>
      <c r="AE55" s="129">
        <f>_xlfn.STDEV.S(0.008,0.007,0.008)</f>
        <v>5.773502691896258E-4</v>
      </c>
      <c r="AI55" s="48" t="s">
        <v>596</v>
      </c>
      <c r="AJ55" s="129">
        <f>_xlfn.STDEV.S(0.006,0.007,0.007)</f>
        <v>5.773502691896258E-4</v>
      </c>
    </row>
    <row r="56" spans="5:37" ht="21">
      <c r="E56" s="16"/>
      <c r="F56" s="16"/>
      <c r="G56" s="16"/>
      <c r="H56" s="124"/>
      <c r="I56" s="16"/>
      <c r="J56" s="125"/>
      <c r="K56" s="16"/>
      <c r="L56" s="16"/>
      <c r="M56" s="125" t="s">
        <v>39</v>
      </c>
      <c r="N56" s="16"/>
      <c r="O56" s="16"/>
      <c r="P56" s="111">
        <v>45894</v>
      </c>
      <c r="Q56" s="16"/>
      <c r="R56" s="134" t="s">
        <v>763</v>
      </c>
      <c r="S56" s="124"/>
      <c r="T56" s="16"/>
      <c r="U56" s="16"/>
      <c r="V56" s="16"/>
      <c r="W56" s="124"/>
      <c r="X56" s="124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</row>
    <row r="57" spans="5:37">
      <c r="E57" s="2"/>
      <c r="F57" s="5" t="s">
        <v>222</v>
      </c>
      <c r="G57" s="2"/>
      <c r="H57" s="51"/>
      <c r="J57" s="2"/>
      <c r="K57" s="5" t="s">
        <v>360</v>
      </c>
      <c r="L57" s="2"/>
      <c r="M57" s="51"/>
      <c r="O57" s="2"/>
      <c r="P57" s="5" t="s">
        <v>474</v>
      </c>
      <c r="Q57" s="2"/>
      <c r="R57" s="63"/>
      <c r="S57" s="51"/>
      <c r="T57" s="2"/>
      <c r="U57" s="5" t="s">
        <v>476</v>
      </c>
      <c r="V57" s="2"/>
      <c r="W57" s="51"/>
      <c r="X57" s="51"/>
      <c r="Y57" s="2"/>
      <c r="Z57" s="5" t="s">
        <v>582</v>
      </c>
      <c r="AA57" s="2"/>
      <c r="AD57" s="2"/>
      <c r="AE57" s="5" t="s">
        <v>604</v>
      </c>
      <c r="AF57" s="2"/>
      <c r="AI57" s="2"/>
      <c r="AJ57" s="5" t="s">
        <v>605</v>
      </c>
      <c r="AK57" s="2"/>
    </row>
    <row r="58" spans="5:37">
      <c r="E58" s="1" t="s">
        <v>779</v>
      </c>
      <c r="H58" s="51"/>
      <c r="J58" s="1" t="s">
        <v>571</v>
      </c>
      <c r="M58" s="51"/>
      <c r="O58" s="1" t="s">
        <v>389</v>
      </c>
      <c r="R58" s="51"/>
      <c r="S58" s="51"/>
      <c r="T58" s="1" t="s">
        <v>786</v>
      </c>
      <c r="W58" s="51"/>
      <c r="X58" s="51"/>
      <c r="Y58" s="1" t="s">
        <v>793</v>
      </c>
      <c r="AD58" s="1" t="s">
        <v>794</v>
      </c>
    </row>
    <row r="59" spans="5:37">
      <c r="E59" s="1" t="s">
        <v>533</v>
      </c>
      <c r="H59" s="51"/>
      <c r="J59" s="1" t="s">
        <v>720</v>
      </c>
      <c r="M59" s="51"/>
      <c r="O59" s="1" t="s">
        <v>668</v>
      </c>
      <c r="R59" s="51"/>
      <c r="S59" s="51"/>
      <c r="T59" s="1" t="s">
        <v>787</v>
      </c>
      <c r="W59" s="51"/>
      <c r="X59" s="51"/>
      <c r="Y59" s="1" t="s">
        <v>659</v>
      </c>
      <c r="AD59" s="1" t="s">
        <v>684</v>
      </c>
    </row>
    <row r="60" spans="5:37">
      <c r="H60" s="51"/>
      <c r="M60" s="51"/>
      <c r="R60" s="51"/>
      <c r="S60" s="51"/>
      <c r="W60" s="51"/>
      <c r="X60" s="51"/>
    </row>
    <row r="61" spans="5:37" s="10" customFormat="1">
      <c r="E61" s="10" t="s">
        <v>780</v>
      </c>
      <c r="H61" s="51"/>
      <c r="J61" s="10" t="s">
        <v>782</v>
      </c>
      <c r="M61" s="51"/>
      <c r="O61" s="10" t="s">
        <v>784</v>
      </c>
      <c r="R61" s="51"/>
      <c r="S61" s="51"/>
      <c r="T61" s="10" t="s">
        <v>701</v>
      </c>
      <c r="W61" s="51"/>
      <c r="X61" s="51"/>
      <c r="Y61" s="10" t="s">
        <v>790</v>
      </c>
      <c r="AD61" s="10" t="s">
        <v>795</v>
      </c>
    </row>
    <row r="62" spans="5:37">
      <c r="E62" s="1" t="s">
        <v>533</v>
      </c>
      <c r="H62" s="51"/>
      <c r="J62" s="1" t="s">
        <v>673</v>
      </c>
      <c r="M62" s="51"/>
      <c r="O62" s="1" t="s">
        <v>241</v>
      </c>
      <c r="R62" s="51"/>
      <c r="S62" s="51"/>
      <c r="T62" s="1" t="s">
        <v>788</v>
      </c>
      <c r="W62" s="51"/>
      <c r="X62" s="51"/>
      <c r="Y62" s="1" t="s">
        <v>791</v>
      </c>
      <c r="AD62" s="1" t="s">
        <v>787</v>
      </c>
    </row>
    <row r="63" spans="5:37">
      <c r="H63" s="51"/>
      <c r="M63" s="51"/>
      <c r="R63" s="51"/>
      <c r="S63" s="51"/>
      <c r="W63" s="51"/>
      <c r="X63" s="51"/>
    </row>
    <row r="64" spans="5:37">
      <c r="E64" s="1" t="s">
        <v>781</v>
      </c>
      <c r="H64" s="51"/>
      <c r="J64" s="1" t="s">
        <v>783</v>
      </c>
      <c r="M64" s="51"/>
      <c r="O64" s="1" t="s">
        <v>785</v>
      </c>
      <c r="R64" s="51"/>
      <c r="S64" s="51"/>
      <c r="T64" s="1" t="s">
        <v>540</v>
      </c>
      <c r="W64" s="51"/>
      <c r="X64" s="51"/>
      <c r="Y64" s="1" t="s">
        <v>792</v>
      </c>
      <c r="AD64" s="1" t="s">
        <v>796</v>
      </c>
    </row>
    <row r="65" spans="5:36">
      <c r="E65" s="1" t="s">
        <v>533</v>
      </c>
      <c r="H65" s="51"/>
      <c r="J65" s="1" t="s">
        <v>720</v>
      </c>
      <c r="M65" s="51"/>
      <c r="O65" s="1" t="s">
        <v>530</v>
      </c>
      <c r="R65" s="51"/>
      <c r="S65" s="51"/>
      <c r="T65" s="1" t="s">
        <v>659</v>
      </c>
      <c r="W65" s="51"/>
      <c r="X65" s="51"/>
      <c r="Y65" s="1" t="s">
        <v>760</v>
      </c>
      <c r="AD65" s="1" t="s">
        <v>684</v>
      </c>
    </row>
    <row r="66" spans="5:36">
      <c r="H66" s="51"/>
      <c r="M66" s="51"/>
      <c r="R66" s="51"/>
      <c r="S66" s="51"/>
      <c r="W66" s="51"/>
      <c r="X66" s="51"/>
    </row>
    <row r="67" spans="5:36" s="48" customFormat="1">
      <c r="E67" s="115" t="s">
        <v>3</v>
      </c>
      <c r="F67" s="114">
        <f>AVERAGE(0.66,0.66,0.66)</f>
        <v>0.66</v>
      </c>
      <c r="H67" s="116"/>
      <c r="J67" s="115" t="s">
        <v>3</v>
      </c>
      <c r="K67" s="114">
        <f>AVERAGE(0.58,0.62,0.58)</f>
        <v>0.59333333333333327</v>
      </c>
      <c r="M67" s="117"/>
      <c r="O67" s="115" t="s">
        <v>3</v>
      </c>
      <c r="P67" s="114">
        <f>AVERAGE(0.55,0.68,0.55)</f>
        <v>0.59333333333333338</v>
      </c>
      <c r="R67" s="118"/>
      <c r="S67" s="116"/>
      <c r="T67" s="115" t="s">
        <v>3</v>
      </c>
      <c r="U67" s="114">
        <f>AVERAGE(0.46,0.51,0.51)</f>
        <v>0.49333333333333335</v>
      </c>
      <c r="W67" s="116"/>
      <c r="X67" s="116"/>
      <c r="Y67" s="115" t="s">
        <v>3</v>
      </c>
      <c r="Z67" s="114">
        <f>AVERAGE(0.51,0.48,0.52)</f>
        <v>0.5033333333333333</v>
      </c>
      <c r="AD67" s="115" t="s">
        <v>3</v>
      </c>
      <c r="AE67" s="114">
        <f>AVERAGE(0.49,0.46,0.49)</f>
        <v>0.48</v>
      </c>
      <c r="AI67" s="115" t="s">
        <v>3</v>
      </c>
      <c r="AJ67" s="114">
        <f>AVERAGE(0.53,0.58,0.53)</f>
        <v>0.54666666666666663</v>
      </c>
    </row>
    <row r="68" spans="5:36" s="48" customFormat="1">
      <c r="E68" s="48" t="s">
        <v>596</v>
      </c>
      <c r="F68" s="126">
        <f>_xlfn.STDEV.S(0.006,0.006,0.006)</f>
        <v>1.0622968402425924E-18</v>
      </c>
      <c r="J68" s="48" t="s">
        <v>596</v>
      </c>
      <c r="K68" s="128">
        <f>_xlfn.STDEV.S(0.006,0.006,0.006)</f>
        <v>1.0622968402425924E-18</v>
      </c>
      <c r="O68" s="48" t="s">
        <v>596</v>
      </c>
      <c r="P68" s="129">
        <f>_xlfn.STDEV.S(0.006,0.007,0.008)</f>
        <v>1E-3</v>
      </c>
      <c r="T68" s="48" t="s">
        <v>596</v>
      </c>
      <c r="U68" s="129">
        <f>_xlfn.STDEV.S(0.008,0.006,0.006)</f>
        <v>1.1547005383792516E-3</v>
      </c>
      <c r="Y68" s="48" t="s">
        <v>596</v>
      </c>
      <c r="Z68" s="129">
        <f>_xlfn.STDEV.S(0.006,0.007,0.006)</f>
        <v>5.773502691896258E-4</v>
      </c>
      <c r="AD68" s="48" t="s">
        <v>596</v>
      </c>
      <c r="AE68" s="129">
        <f>_xlfn.STDEV.S(0.007,0.007,0.006)</f>
        <v>5.773502691896258E-4</v>
      </c>
      <c r="AI68" s="48" t="s">
        <v>596</v>
      </c>
      <c r="AJ68" s="129">
        <f>_xlfn.STDEV.S(0.006,0.007,0.007)</f>
        <v>5.773502691896258E-4</v>
      </c>
    </row>
    <row r="69" spans="5:36">
      <c r="U69" s="1" t="s">
        <v>789</v>
      </c>
    </row>
    <row r="72" spans="5:36" ht="16">
      <c r="O72" s="268" t="s">
        <v>425</v>
      </c>
      <c r="P72" s="268"/>
      <c r="Q72" s="268"/>
      <c r="R72" s="268"/>
      <c r="S72" s="268"/>
      <c r="T72" s="268"/>
      <c r="U72" s="136">
        <v>2</v>
      </c>
      <c r="V72" s="136">
        <v>7</v>
      </c>
      <c r="W72" s="136">
        <v>10</v>
      </c>
      <c r="X72" s="136">
        <v>20</v>
      </c>
      <c r="Y72" s="136">
        <v>30</v>
      </c>
      <c r="Z72" s="136">
        <v>40</v>
      </c>
    </row>
    <row r="73" spans="5:36" ht="16">
      <c r="O73" s="267" t="s">
        <v>776</v>
      </c>
      <c r="P73" s="267"/>
      <c r="Q73" s="267"/>
      <c r="R73" s="267"/>
      <c r="S73" s="267"/>
      <c r="T73" s="267"/>
      <c r="U73" s="135">
        <v>0.88</v>
      </c>
      <c r="V73" s="135">
        <v>0.69</v>
      </c>
      <c r="W73" s="135">
        <v>0.64</v>
      </c>
      <c r="X73" s="135">
        <v>0.52</v>
      </c>
      <c r="Y73" s="135">
        <v>0.54</v>
      </c>
      <c r="Z73" s="135">
        <v>0.55000000000000004</v>
      </c>
    </row>
    <row r="74" spans="5:36" ht="16">
      <c r="O74" s="267" t="s">
        <v>777</v>
      </c>
      <c r="P74" s="267"/>
      <c r="Q74" s="267"/>
      <c r="R74" s="267"/>
      <c r="S74" s="267"/>
      <c r="T74" s="267"/>
      <c r="U74" s="135">
        <v>0.94</v>
      </c>
      <c r="V74" s="135">
        <v>0.72</v>
      </c>
      <c r="W74" s="135">
        <v>0.67</v>
      </c>
      <c r="X74" s="135">
        <v>0.6</v>
      </c>
      <c r="Y74" s="135">
        <v>0.6</v>
      </c>
      <c r="Z74" s="135">
        <v>0.57999999999999996</v>
      </c>
    </row>
    <row r="75" spans="5:36" ht="16">
      <c r="O75" s="267" t="s">
        <v>778</v>
      </c>
      <c r="P75" s="267"/>
      <c r="Q75" s="267"/>
      <c r="R75" s="267"/>
      <c r="S75" s="267"/>
      <c r="T75" s="267"/>
      <c r="U75" s="135">
        <v>1.24</v>
      </c>
      <c r="V75" s="135">
        <v>1.06</v>
      </c>
      <c r="W75" s="135">
        <v>1</v>
      </c>
      <c r="X75" s="135">
        <v>0.91</v>
      </c>
      <c r="Y75" s="135">
        <v>0.97</v>
      </c>
      <c r="Z75" s="135">
        <v>0.87</v>
      </c>
    </row>
    <row r="76" spans="5:36" ht="16">
      <c r="O76" s="267" t="s">
        <v>775</v>
      </c>
      <c r="P76" s="267"/>
      <c r="Q76" s="267"/>
      <c r="R76" s="267"/>
      <c r="S76" s="267"/>
      <c r="T76" s="267"/>
      <c r="U76" s="135">
        <v>0.66</v>
      </c>
      <c r="V76" s="135">
        <v>0.59</v>
      </c>
      <c r="W76" s="135">
        <v>0.59</v>
      </c>
      <c r="X76" s="135">
        <v>0.49</v>
      </c>
      <c r="Y76" s="135">
        <v>0.5</v>
      </c>
      <c r="Z76" s="135">
        <v>0.48</v>
      </c>
    </row>
  </sheetData>
  <mergeCells count="5">
    <mergeCell ref="O75:T75"/>
    <mergeCell ref="O74:T74"/>
    <mergeCell ref="O73:T73"/>
    <mergeCell ref="O72:T72"/>
    <mergeCell ref="O76:T76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S67"/>
  <sheetViews>
    <sheetView topLeftCell="A34" zoomScale="60" zoomScaleNormal="60" workbookViewId="0">
      <selection activeCell="AD61" sqref="V61:AD61"/>
    </sheetView>
  </sheetViews>
  <sheetFormatPr baseColWidth="10" defaultColWidth="8.83203125" defaultRowHeight="15"/>
  <cols>
    <col min="1" max="1" width="8.83203125" style="1" customWidth="1"/>
    <col min="2" max="2" width="9.83203125" style="1" bestFit="1" customWidth="1"/>
    <col min="3" max="3" width="13.6640625" style="1" customWidth="1"/>
    <col min="4" max="5" width="8.83203125" style="1"/>
    <col min="6" max="6" width="10.83203125" style="1" bestFit="1" customWidth="1"/>
    <col min="7" max="8" width="8.83203125" style="1"/>
    <col min="9" max="9" width="12.6640625" style="1" customWidth="1"/>
    <col min="10" max="10" width="10" style="1" bestFit="1" customWidth="1"/>
    <col min="11" max="12" width="8.83203125" style="1"/>
    <col min="13" max="13" width="9.6640625" style="1" customWidth="1"/>
    <col min="14" max="14" width="11.33203125" style="1" bestFit="1" customWidth="1"/>
    <col min="15" max="16" width="8.83203125" style="1"/>
    <col min="17" max="17" width="8.83203125" style="10"/>
    <col min="18" max="18" width="9.83203125" style="10" bestFit="1" customWidth="1"/>
    <col min="19" max="21" width="8.83203125" style="10"/>
    <col min="22" max="22" width="10" style="10" bestFit="1" customWidth="1"/>
    <col min="23" max="25" width="8.83203125" style="10"/>
    <col min="26" max="26" width="10.83203125" style="10" bestFit="1" customWidth="1"/>
    <col min="27" max="27" width="9.83203125" style="10" bestFit="1" customWidth="1"/>
    <col min="28" max="29" width="8.83203125" style="10"/>
    <col min="30" max="30" width="10.83203125" style="10" bestFit="1" customWidth="1"/>
    <col min="31" max="32" width="8.83203125" style="10"/>
    <col min="33" max="16384" width="8.83203125" style="1"/>
  </cols>
  <sheetData>
    <row r="1" spans="1:45" ht="21">
      <c r="F1" s="269" t="s">
        <v>797</v>
      </c>
      <c r="G1" s="269"/>
      <c r="H1" s="269"/>
      <c r="J1" s="8" t="s">
        <v>859</v>
      </c>
      <c r="AG1" s="10"/>
      <c r="AH1" s="10"/>
      <c r="AI1" s="10"/>
      <c r="AJ1" s="10"/>
      <c r="AK1" s="10"/>
      <c r="AL1" s="10"/>
      <c r="AM1" s="10"/>
    </row>
    <row r="2" spans="1:45">
      <c r="AG2" s="10"/>
      <c r="AH2" s="10"/>
      <c r="AI2" s="10"/>
      <c r="AJ2" s="10"/>
      <c r="AK2" s="10"/>
      <c r="AL2" s="10"/>
      <c r="AM2" s="10"/>
    </row>
    <row r="3" spans="1:45">
      <c r="AG3" s="10"/>
      <c r="AH3" s="10"/>
      <c r="AI3" s="10"/>
      <c r="AJ3" s="10"/>
      <c r="AK3" s="10"/>
      <c r="AL3" s="10"/>
      <c r="AM3" s="10"/>
    </row>
    <row r="4" spans="1:45">
      <c r="AG4" s="10"/>
      <c r="AH4" s="10"/>
      <c r="AI4" s="10"/>
      <c r="AJ4" s="10"/>
      <c r="AK4" s="10"/>
      <c r="AL4" s="10"/>
      <c r="AM4" s="10"/>
    </row>
    <row r="5" spans="1:45">
      <c r="AG5" s="10"/>
      <c r="AH5" s="10"/>
      <c r="AI5" s="10"/>
      <c r="AJ5" s="10"/>
      <c r="AK5" s="10"/>
      <c r="AL5" s="10"/>
      <c r="AM5" s="10"/>
    </row>
    <row r="6" spans="1:45" ht="19">
      <c r="A6" s="270" t="s">
        <v>798</v>
      </c>
      <c r="B6" s="271"/>
      <c r="C6" s="271"/>
      <c r="D6" s="137"/>
      <c r="E6" s="138" t="s">
        <v>799</v>
      </c>
      <c r="F6" s="139"/>
      <c r="G6" s="139"/>
      <c r="H6" s="140"/>
      <c r="I6" s="141" t="s">
        <v>800</v>
      </c>
      <c r="J6" s="141"/>
      <c r="K6" s="141"/>
      <c r="L6" s="142"/>
      <c r="M6" s="141" t="s">
        <v>801</v>
      </c>
      <c r="N6" s="141"/>
      <c r="O6" s="141"/>
      <c r="P6" s="142"/>
      <c r="Q6" s="141" t="s">
        <v>802</v>
      </c>
      <c r="R6" s="141"/>
      <c r="S6" s="141"/>
      <c r="T6" s="142"/>
      <c r="V6" s="46"/>
      <c r="W6" s="143"/>
      <c r="X6" s="46"/>
      <c r="Y6" s="46"/>
      <c r="Z6" s="46"/>
      <c r="AA6" s="46"/>
      <c r="AB6" s="46"/>
      <c r="AC6" s="46"/>
      <c r="AD6" s="46"/>
      <c r="AE6" s="143"/>
      <c r="AF6" s="143"/>
      <c r="AG6" s="143"/>
      <c r="AH6" s="143"/>
      <c r="AI6" s="143"/>
      <c r="AJ6" s="143"/>
      <c r="AK6" s="143"/>
      <c r="AL6" s="143"/>
      <c r="AM6" s="143"/>
      <c r="AN6" s="144"/>
      <c r="AO6" s="144"/>
      <c r="AP6" s="144"/>
      <c r="AQ6" s="144"/>
      <c r="AR6" s="144"/>
      <c r="AS6" s="144"/>
    </row>
    <row r="7" spans="1:45" ht="19" customHeight="1">
      <c r="A7" s="145" t="s">
        <v>803</v>
      </c>
      <c r="B7" s="146"/>
      <c r="C7" s="146"/>
      <c r="D7" s="147"/>
      <c r="E7" s="145" t="s">
        <v>804</v>
      </c>
      <c r="F7" s="146"/>
      <c r="G7" s="146"/>
      <c r="H7" s="147"/>
      <c r="I7" s="144" t="s">
        <v>805</v>
      </c>
      <c r="J7" s="144"/>
      <c r="K7" s="144"/>
      <c r="L7" s="144"/>
      <c r="M7" s="144" t="s">
        <v>806</v>
      </c>
      <c r="N7" s="144"/>
      <c r="O7" s="144"/>
      <c r="P7" s="144"/>
      <c r="Q7" s="144" t="s">
        <v>807</v>
      </c>
      <c r="R7" s="144"/>
      <c r="S7" s="144"/>
      <c r="T7" s="144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  <c r="AK7" s="143"/>
      <c r="AL7" s="143"/>
      <c r="AM7" s="143"/>
      <c r="AN7" s="144"/>
      <c r="AO7" s="144"/>
      <c r="AP7" s="144"/>
      <c r="AQ7" s="144"/>
      <c r="AR7" s="144"/>
      <c r="AS7" s="144"/>
    </row>
    <row r="8" spans="1:45" ht="19">
      <c r="A8" s="145" t="s">
        <v>808</v>
      </c>
      <c r="B8" s="146"/>
      <c r="C8" s="146"/>
      <c r="D8" s="147"/>
      <c r="E8" s="145" t="s">
        <v>809</v>
      </c>
      <c r="F8" s="146"/>
      <c r="G8" s="146"/>
      <c r="H8" s="147"/>
      <c r="I8" s="144" t="s">
        <v>810</v>
      </c>
      <c r="J8" s="144"/>
      <c r="K8" s="144"/>
      <c r="L8" s="144"/>
      <c r="M8" s="144" t="s">
        <v>808</v>
      </c>
      <c r="N8" s="144"/>
      <c r="O8" s="144"/>
      <c r="P8" s="144"/>
      <c r="Q8" s="144" t="s">
        <v>811</v>
      </c>
      <c r="R8" s="144"/>
      <c r="S8" s="144"/>
      <c r="T8" s="144"/>
      <c r="V8" s="143"/>
      <c r="W8" s="143"/>
      <c r="X8" s="143"/>
      <c r="Y8" s="143"/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44"/>
      <c r="AO8" s="144"/>
      <c r="AP8" s="144"/>
      <c r="AQ8" s="144"/>
      <c r="AR8" s="144"/>
      <c r="AS8" s="144"/>
    </row>
    <row r="9" spans="1:45" ht="19">
      <c r="A9" s="145"/>
      <c r="B9" s="146"/>
      <c r="C9" s="146"/>
      <c r="D9" s="102"/>
      <c r="E9" s="145"/>
      <c r="F9" s="146"/>
      <c r="G9" s="146"/>
      <c r="H9" s="147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  <c r="AK9" s="143"/>
      <c r="AL9" s="143"/>
      <c r="AM9" s="143"/>
      <c r="AN9" s="144"/>
      <c r="AO9" s="144"/>
      <c r="AP9" s="144"/>
      <c r="AQ9" s="144"/>
      <c r="AR9" s="144"/>
      <c r="AS9" s="144"/>
    </row>
    <row r="10" spans="1:45" ht="19" customHeight="1">
      <c r="A10" s="145" t="s">
        <v>812</v>
      </c>
      <c r="B10" s="146"/>
      <c r="C10" s="146"/>
      <c r="D10" s="147"/>
      <c r="E10" s="145" t="s">
        <v>813</v>
      </c>
      <c r="F10" s="146"/>
      <c r="G10" s="146"/>
      <c r="H10" s="147"/>
      <c r="I10" s="144" t="s">
        <v>814</v>
      </c>
      <c r="J10" s="144"/>
      <c r="K10" s="144"/>
      <c r="L10" s="144"/>
      <c r="M10" s="144" t="s">
        <v>815</v>
      </c>
      <c r="N10" s="144"/>
      <c r="O10" s="144"/>
      <c r="P10" s="144"/>
      <c r="Q10" s="144" t="s">
        <v>816</v>
      </c>
      <c r="R10" s="144"/>
      <c r="S10" s="144"/>
      <c r="T10" s="144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4"/>
      <c r="AO10" s="144"/>
      <c r="AP10" s="144"/>
      <c r="AQ10" s="144"/>
      <c r="AR10" s="144"/>
      <c r="AS10" s="144"/>
    </row>
    <row r="11" spans="1:45" ht="19">
      <c r="A11" s="145" t="s">
        <v>817</v>
      </c>
      <c r="B11" s="146"/>
      <c r="C11" s="146"/>
      <c r="D11" s="147"/>
      <c r="E11" s="145" t="s">
        <v>818</v>
      </c>
      <c r="F11" s="146"/>
      <c r="G11" s="146"/>
      <c r="H11" s="147"/>
      <c r="I11" s="144" t="s">
        <v>819</v>
      </c>
      <c r="J11" s="144"/>
      <c r="K11" s="144"/>
      <c r="L11" s="144"/>
      <c r="M11" s="144" t="s">
        <v>817</v>
      </c>
      <c r="N11" s="144"/>
      <c r="O11" s="144"/>
      <c r="P11" s="144"/>
      <c r="Q11" s="144" t="s">
        <v>820</v>
      </c>
      <c r="R11" s="144"/>
      <c r="S11" s="144"/>
      <c r="T11" s="144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4"/>
      <c r="AO11" s="144"/>
      <c r="AP11" s="144"/>
      <c r="AQ11" s="144"/>
      <c r="AR11" s="144"/>
      <c r="AS11" s="144"/>
    </row>
    <row r="12" spans="1:45" ht="19" customHeight="1">
      <c r="A12" s="145"/>
      <c r="B12" s="146"/>
      <c r="C12" s="146"/>
      <c r="D12" s="147"/>
      <c r="E12" s="145"/>
      <c r="F12" s="146"/>
      <c r="G12" s="146"/>
      <c r="H12" s="147"/>
      <c r="I12" s="144"/>
      <c r="J12" s="144"/>
      <c r="K12" s="144"/>
      <c r="L12" s="144"/>
      <c r="M12" s="144"/>
      <c r="N12" s="144"/>
      <c r="O12" s="144"/>
      <c r="Q12" s="144"/>
      <c r="R12" s="144"/>
      <c r="S12" s="144"/>
      <c r="T12" s="1"/>
      <c r="V12" s="143"/>
      <c r="W12" s="143"/>
      <c r="X12" s="143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4"/>
      <c r="AO12" s="144"/>
      <c r="AP12" s="144"/>
      <c r="AQ12" s="144"/>
      <c r="AR12" s="144"/>
      <c r="AS12" s="144"/>
    </row>
    <row r="13" spans="1:45" ht="19" customHeight="1">
      <c r="A13" s="145" t="s">
        <v>821</v>
      </c>
      <c r="B13" s="146"/>
      <c r="C13" s="146"/>
      <c r="D13" s="147"/>
      <c r="E13" s="145" t="s">
        <v>822</v>
      </c>
      <c r="F13" s="146"/>
      <c r="G13" s="146"/>
      <c r="H13" s="147"/>
      <c r="I13" s="144" t="s">
        <v>823</v>
      </c>
      <c r="J13" s="144"/>
      <c r="K13" s="144"/>
      <c r="L13" s="144"/>
      <c r="M13" s="144" t="s">
        <v>824</v>
      </c>
      <c r="N13" s="144"/>
      <c r="O13" s="144"/>
      <c r="P13" s="144"/>
      <c r="Q13" s="144" t="s">
        <v>825</v>
      </c>
      <c r="R13" s="144"/>
      <c r="S13" s="144"/>
      <c r="T13" s="144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4"/>
      <c r="AO13" s="144"/>
      <c r="AP13" s="144"/>
      <c r="AQ13" s="144"/>
      <c r="AR13" s="144"/>
      <c r="AS13" s="144"/>
    </row>
    <row r="14" spans="1:45" ht="19">
      <c r="A14" s="148" t="s">
        <v>826</v>
      </c>
      <c r="B14" s="149"/>
      <c r="C14" s="149"/>
      <c r="D14" s="150"/>
      <c r="E14" s="148" t="s">
        <v>826</v>
      </c>
      <c r="F14" s="149"/>
      <c r="G14" s="149"/>
      <c r="H14" s="150"/>
      <c r="I14" s="144" t="s">
        <v>827</v>
      </c>
      <c r="J14" s="144"/>
      <c r="K14" s="144"/>
      <c r="L14" s="144"/>
      <c r="M14" s="144" t="s">
        <v>828</v>
      </c>
      <c r="N14" s="144"/>
      <c r="O14" s="144"/>
      <c r="P14" s="144"/>
      <c r="Q14" s="144" t="s">
        <v>819</v>
      </c>
      <c r="R14" s="144"/>
      <c r="S14" s="144"/>
      <c r="T14" s="144"/>
      <c r="V14" s="143"/>
      <c r="W14" s="143"/>
      <c r="X14" s="143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4"/>
      <c r="AO14" s="144"/>
      <c r="AP14" s="144"/>
      <c r="AQ14" s="144"/>
      <c r="AR14" s="144"/>
      <c r="AS14" s="144"/>
    </row>
    <row r="15" spans="1:45" ht="19" customHeight="1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4"/>
      <c r="AO15" s="144"/>
      <c r="AP15" s="144"/>
      <c r="AQ15" s="144"/>
      <c r="AR15" s="144"/>
      <c r="AS15" s="144"/>
    </row>
    <row r="16" spans="1:45" ht="19" customHeight="1">
      <c r="A16" s="151" t="s">
        <v>829</v>
      </c>
      <c r="B16" s="152">
        <f>AVERAGE(1.22,1.21,1.22)</f>
        <v>1.2166666666666666</v>
      </c>
      <c r="C16" s="142"/>
      <c r="D16" s="144"/>
      <c r="E16" s="151" t="s">
        <v>829</v>
      </c>
      <c r="F16" s="153">
        <f>AVERAGE(1.22,1.25,1.25)</f>
        <v>1.24</v>
      </c>
      <c r="G16" s="142"/>
      <c r="H16" s="142"/>
      <c r="I16" s="151" t="s">
        <v>829</v>
      </c>
      <c r="J16" s="153">
        <f>AVERAGE(1.28,1.25,1.24)</f>
        <v>1.2566666666666668</v>
      </c>
      <c r="K16" s="142"/>
      <c r="L16" s="142"/>
      <c r="M16" s="151" t="s">
        <v>829</v>
      </c>
      <c r="N16" s="153">
        <f>AVERAGE(1.2,1.21,1.22)</f>
        <v>1.21</v>
      </c>
      <c r="O16" s="142"/>
      <c r="P16" s="142"/>
      <c r="Q16" s="151" t="s">
        <v>829</v>
      </c>
      <c r="R16" s="153">
        <f>AVERAGE(1.43,1.26,1.25)</f>
        <v>1.3133333333333332</v>
      </c>
      <c r="S16" s="142"/>
      <c r="T16" s="142"/>
      <c r="V16" s="273" t="s">
        <v>884</v>
      </c>
      <c r="W16" s="274"/>
      <c r="X16" s="274"/>
      <c r="Y16" s="275"/>
      <c r="Z16" s="177">
        <v>2.5000000000000001E-2</v>
      </c>
      <c r="AA16" s="178">
        <v>0.05</v>
      </c>
      <c r="AB16" s="177">
        <v>0.1</v>
      </c>
      <c r="AC16" s="177">
        <v>0.25</v>
      </c>
      <c r="AD16" s="156"/>
      <c r="AE16" s="143"/>
      <c r="AF16" s="143"/>
      <c r="AG16" s="143"/>
      <c r="AH16" s="143"/>
      <c r="AI16" s="143"/>
      <c r="AJ16" s="143"/>
      <c r="AK16" s="143"/>
      <c r="AL16" s="143"/>
      <c r="AM16" s="143"/>
      <c r="AN16" s="144"/>
      <c r="AO16" s="144"/>
      <c r="AP16" s="144"/>
      <c r="AQ16" s="144"/>
      <c r="AR16" s="144"/>
      <c r="AS16" s="144"/>
    </row>
    <row r="17" spans="1:45" ht="19">
      <c r="A17" s="157" t="s">
        <v>830</v>
      </c>
      <c r="B17" s="158">
        <f>_xlfn.STDEV.S(0.015,0.014,0.014)</f>
        <v>5.7735026918962536E-4</v>
      </c>
      <c r="C17" s="142"/>
      <c r="D17" s="144"/>
      <c r="E17" s="157" t="s">
        <v>830</v>
      </c>
      <c r="F17" s="158">
        <f>_xlfn.STDEV.S(0.015,0.016,0.017)</f>
        <v>1.0000000000000009E-3</v>
      </c>
      <c r="G17" s="142"/>
      <c r="H17" s="142"/>
      <c r="I17" s="157" t="s">
        <v>830</v>
      </c>
      <c r="J17" s="158">
        <f>_xlfn.STDEV.S(0.015,0.015,0.012)</f>
        <v>1.7320508075688767E-3</v>
      </c>
      <c r="K17" s="142"/>
      <c r="L17" s="142"/>
      <c r="M17" s="157" t="s">
        <v>830</v>
      </c>
      <c r="N17" s="158">
        <f>_xlfn.STDEV.S(0.014,0.014,0.014)</f>
        <v>0</v>
      </c>
      <c r="O17" s="142"/>
      <c r="P17" s="142"/>
      <c r="Q17" s="157" t="s">
        <v>830</v>
      </c>
      <c r="R17" s="158">
        <f>_xlfn.STDEV.S(0.014,0.015,0.015)</f>
        <v>5.7735026918962525E-4</v>
      </c>
      <c r="S17" s="142"/>
      <c r="T17" s="142"/>
      <c r="V17" s="276" t="s">
        <v>885</v>
      </c>
      <c r="W17" s="276"/>
      <c r="X17" s="276"/>
      <c r="Y17" s="276"/>
      <c r="Z17" s="179">
        <v>1.38</v>
      </c>
      <c r="AA17" s="179">
        <v>1.23</v>
      </c>
      <c r="AB17" s="179">
        <v>1.84</v>
      </c>
      <c r="AC17" s="179">
        <v>2.39</v>
      </c>
      <c r="AD17" s="156"/>
      <c r="AE17" s="143"/>
      <c r="AF17" s="143"/>
      <c r="AG17" s="143"/>
      <c r="AH17" s="143"/>
      <c r="AI17" s="143"/>
      <c r="AJ17" s="143"/>
      <c r="AK17" s="143"/>
      <c r="AL17" s="143"/>
      <c r="AM17" s="143"/>
      <c r="AN17" s="144"/>
      <c r="AO17" s="144"/>
      <c r="AP17" s="144"/>
      <c r="AQ17" s="144"/>
      <c r="AR17" s="144"/>
      <c r="AS17" s="144"/>
    </row>
    <row r="18" spans="1:45" ht="19">
      <c r="A18" s="46"/>
      <c r="B18" s="156"/>
      <c r="C18" s="46"/>
      <c r="D18" s="143"/>
      <c r="E18" s="46"/>
      <c r="F18" s="156"/>
      <c r="G18" s="46"/>
      <c r="H18" s="46"/>
      <c r="I18" s="46"/>
      <c r="J18" s="156"/>
      <c r="K18" s="46"/>
      <c r="L18" s="46"/>
      <c r="M18" s="46"/>
      <c r="N18" s="156"/>
      <c r="O18" s="46"/>
      <c r="P18" s="46"/>
      <c r="Q18" s="46"/>
      <c r="R18" s="156"/>
      <c r="S18" s="46"/>
      <c r="T18" s="46"/>
      <c r="V18" s="276" t="s">
        <v>886</v>
      </c>
      <c r="W18" s="276"/>
      <c r="X18" s="276"/>
      <c r="Y18" s="276"/>
      <c r="Z18" s="179">
        <v>1.88</v>
      </c>
      <c r="AA18" s="179">
        <v>1.35</v>
      </c>
      <c r="AB18" s="179">
        <v>2.04</v>
      </c>
      <c r="AC18" s="179">
        <v>3.83</v>
      </c>
      <c r="AD18" s="156"/>
      <c r="AE18" s="143"/>
      <c r="AF18" s="143"/>
      <c r="AG18" s="143"/>
      <c r="AH18" s="143"/>
      <c r="AI18" s="143"/>
      <c r="AJ18" s="143"/>
      <c r="AK18" s="143"/>
      <c r="AL18" s="143"/>
      <c r="AM18" s="143"/>
      <c r="AN18" s="144"/>
      <c r="AO18" s="144"/>
      <c r="AP18" s="144"/>
      <c r="AQ18" s="144"/>
      <c r="AR18" s="144"/>
      <c r="AS18" s="144"/>
    </row>
    <row r="19" spans="1:45" ht="19">
      <c r="A19" s="159"/>
      <c r="B19" s="159"/>
      <c r="C19" s="159"/>
      <c r="D19" s="159"/>
      <c r="E19" s="160"/>
      <c r="F19" s="161"/>
      <c r="G19" s="160"/>
      <c r="H19" s="161"/>
      <c r="I19" s="176" t="s">
        <v>861</v>
      </c>
      <c r="J19" s="161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2"/>
      <c r="W19" s="162"/>
      <c r="X19" s="162"/>
      <c r="Y19" s="162"/>
      <c r="Z19" s="162"/>
      <c r="AA19" s="162"/>
      <c r="AB19" s="162"/>
      <c r="AC19" s="162"/>
      <c r="AD19" s="162"/>
      <c r="AE19" s="162"/>
      <c r="AF19" s="143"/>
      <c r="AG19" s="143"/>
      <c r="AH19" s="143"/>
      <c r="AI19" s="143"/>
      <c r="AJ19" s="143"/>
      <c r="AK19" s="143"/>
      <c r="AL19" s="143"/>
      <c r="AM19" s="143"/>
      <c r="AN19" s="144"/>
      <c r="AO19" s="144"/>
      <c r="AP19" s="144"/>
      <c r="AQ19" s="144"/>
      <c r="AR19" s="144"/>
      <c r="AS19" s="144"/>
    </row>
    <row r="20" spans="1:45" s="144" customFormat="1" ht="19">
      <c r="E20" s="272" t="s">
        <v>831</v>
      </c>
      <c r="F20" s="272"/>
      <c r="I20" s="163" t="s">
        <v>832</v>
      </c>
      <c r="J20" s="163"/>
      <c r="K20" s="163"/>
      <c r="M20" s="163" t="s">
        <v>833</v>
      </c>
      <c r="N20" s="163"/>
      <c r="O20" s="163"/>
      <c r="Q20" s="272" t="s">
        <v>834</v>
      </c>
      <c r="R20" s="272"/>
      <c r="S20" s="272"/>
      <c r="U20" s="143"/>
      <c r="V20" s="46"/>
      <c r="W20" s="143"/>
      <c r="X20" s="143"/>
      <c r="Y20" s="162"/>
      <c r="Z20" s="46"/>
      <c r="AA20" s="143"/>
      <c r="AB20" s="143"/>
      <c r="AC20" s="162"/>
      <c r="AD20" s="162"/>
      <c r="AE20" s="143"/>
      <c r="AF20" s="143"/>
      <c r="AG20" s="143"/>
      <c r="AH20" s="143"/>
      <c r="AI20" s="143"/>
      <c r="AJ20" s="143"/>
      <c r="AK20" s="143"/>
      <c r="AL20" s="143"/>
      <c r="AM20" s="143"/>
    </row>
    <row r="21" spans="1:45" ht="19.5" customHeight="1">
      <c r="A21" s="144"/>
      <c r="E21" s="1" t="s">
        <v>835</v>
      </c>
      <c r="F21" s="144"/>
      <c r="G21" s="144"/>
      <c r="H21" s="144"/>
      <c r="I21" s="144" t="s">
        <v>836</v>
      </c>
      <c r="J21" s="144"/>
      <c r="K21" s="144"/>
      <c r="L21" s="144"/>
      <c r="M21" s="144" t="s">
        <v>837</v>
      </c>
      <c r="N21" s="144"/>
      <c r="O21" s="144"/>
      <c r="P21" s="144"/>
      <c r="Q21" s="144" t="s">
        <v>838</v>
      </c>
      <c r="R21" s="144"/>
      <c r="S21" s="144"/>
      <c r="T21" s="144"/>
      <c r="U21" s="143"/>
      <c r="V21" s="143"/>
      <c r="W21" s="143"/>
      <c r="X21" s="143"/>
      <c r="Y21" s="143"/>
      <c r="Z21" s="164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4"/>
      <c r="AO21" s="144"/>
      <c r="AP21" s="144"/>
      <c r="AQ21" s="144"/>
      <c r="AR21" s="144"/>
      <c r="AS21" s="144"/>
    </row>
    <row r="22" spans="1:45" ht="19">
      <c r="A22" s="144"/>
      <c r="E22" s="144" t="s">
        <v>839</v>
      </c>
      <c r="I22" s="144" t="s">
        <v>840</v>
      </c>
      <c r="J22" s="144"/>
      <c r="K22" s="144"/>
      <c r="L22" s="144"/>
      <c r="M22" s="1" t="s">
        <v>841</v>
      </c>
      <c r="N22" s="144"/>
      <c r="O22" s="144"/>
      <c r="P22" s="144"/>
      <c r="Q22" s="144" t="s">
        <v>842</v>
      </c>
      <c r="R22" s="144"/>
      <c r="S22" s="144"/>
      <c r="T22" s="144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  <c r="AE22" s="143"/>
      <c r="AF22" s="143"/>
      <c r="AG22" s="143"/>
      <c r="AH22" s="143"/>
      <c r="AI22" s="143"/>
      <c r="AJ22" s="143"/>
      <c r="AK22" s="143"/>
      <c r="AL22" s="143"/>
      <c r="AM22" s="143"/>
      <c r="AN22" s="144"/>
      <c r="AO22" s="144"/>
      <c r="AP22" s="144"/>
      <c r="AQ22" s="144"/>
      <c r="AR22" s="144"/>
      <c r="AS22" s="144"/>
    </row>
    <row r="23" spans="1:45" ht="19" customHeight="1">
      <c r="A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4"/>
      <c r="R23" s="144"/>
      <c r="S23" s="144"/>
      <c r="T23" s="144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3"/>
      <c r="AJ23" s="143"/>
      <c r="AK23" s="143"/>
      <c r="AL23" s="143"/>
      <c r="AM23" s="143"/>
      <c r="AN23" s="144"/>
      <c r="AO23" s="144"/>
      <c r="AP23" s="144"/>
      <c r="AQ23" s="144"/>
      <c r="AR23" s="144"/>
      <c r="AS23" s="144"/>
    </row>
    <row r="24" spans="1:45" ht="19" customHeight="1">
      <c r="A24" s="144"/>
      <c r="E24" s="144" t="s">
        <v>843</v>
      </c>
      <c r="F24" s="144"/>
      <c r="G24" s="144"/>
      <c r="H24" s="144"/>
      <c r="I24" s="165" t="s">
        <v>844</v>
      </c>
      <c r="J24" s="166">
        <v>3.1949999999999998</v>
      </c>
      <c r="K24" s="144"/>
      <c r="L24" s="144"/>
      <c r="M24" s="144" t="s">
        <v>845</v>
      </c>
      <c r="N24" s="144"/>
      <c r="O24" s="144"/>
      <c r="P24" s="144"/>
      <c r="Q24" s="144" t="s">
        <v>846</v>
      </c>
      <c r="R24" s="144"/>
      <c r="S24" s="144"/>
      <c r="T24" s="144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  <c r="AE24" s="143"/>
      <c r="AF24" s="143"/>
      <c r="AG24" s="143"/>
      <c r="AH24" s="143"/>
      <c r="AI24" s="143"/>
      <c r="AJ24" s="143"/>
      <c r="AK24" s="143"/>
      <c r="AL24" s="143"/>
      <c r="AM24" s="143"/>
      <c r="AN24" s="144"/>
      <c r="AO24" s="144"/>
      <c r="AP24" s="144"/>
      <c r="AQ24" s="144"/>
      <c r="AR24" s="144"/>
      <c r="AS24" s="144"/>
    </row>
    <row r="25" spans="1:45" ht="19">
      <c r="A25" s="144"/>
      <c r="E25" s="144" t="s">
        <v>847</v>
      </c>
      <c r="F25" s="144"/>
      <c r="G25" s="144"/>
      <c r="H25" s="144"/>
      <c r="I25" s="144" t="s">
        <v>848</v>
      </c>
      <c r="J25" s="144"/>
      <c r="K25" s="144"/>
      <c r="L25" s="144"/>
      <c r="M25" s="144" t="s">
        <v>849</v>
      </c>
      <c r="N25" s="144"/>
      <c r="O25" s="144"/>
      <c r="P25" s="144"/>
      <c r="Q25" s="144" t="s">
        <v>850</v>
      </c>
      <c r="R25" s="144"/>
      <c r="S25" s="144"/>
      <c r="T25" s="144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4"/>
      <c r="AO25" s="144"/>
      <c r="AP25" s="144"/>
      <c r="AQ25" s="144"/>
      <c r="AR25" s="144"/>
      <c r="AS25" s="144"/>
    </row>
    <row r="26" spans="1:45" ht="19" customHeight="1">
      <c r="A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4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4"/>
      <c r="AO26" s="144"/>
      <c r="AP26" s="144"/>
      <c r="AQ26" s="144"/>
      <c r="AR26" s="144"/>
      <c r="AS26" s="144"/>
    </row>
    <row r="27" spans="1:45" ht="19" customHeight="1">
      <c r="A27" s="144"/>
      <c r="E27" s="144" t="s">
        <v>851</v>
      </c>
      <c r="F27" s="144"/>
      <c r="G27" s="144"/>
      <c r="H27" s="144"/>
      <c r="I27" s="144" t="s">
        <v>852</v>
      </c>
      <c r="J27" s="144"/>
      <c r="K27" s="144"/>
      <c r="L27" s="144"/>
      <c r="M27" s="144" t="s">
        <v>853</v>
      </c>
      <c r="N27" s="144"/>
      <c r="O27" s="144"/>
      <c r="P27" s="144"/>
      <c r="Q27" s="144" t="s">
        <v>854</v>
      </c>
      <c r="R27" s="144"/>
      <c r="S27" s="144"/>
      <c r="T27" s="144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4"/>
      <c r="AO27" s="144"/>
      <c r="AP27" s="144"/>
      <c r="AQ27" s="144"/>
      <c r="AR27" s="144"/>
      <c r="AS27" s="144"/>
    </row>
    <row r="28" spans="1:45" ht="19">
      <c r="A28" s="144"/>
      <c r="E28" s="144" t="s">
        <v>855</v>
      </c>
      <c r="F28" s="144"/>
      <c r="G28" s="144"/>
      <c r="H28" s="144"/>
      <c r="I28" s="144" t="s">
        <v>856</v>
      </c>
      <c r="J28" s="144"/>
      <c r="K28" s="144"/>
      <c r="L28" s="144"/>
      <c r="M28" s="144" t="s">
        <v>857</v>
      </c>
      <c r="N28" s="144"/>
      <c r="O28" s="144"/>
      <c r="P28" s="144"/>
      <c r="Q28" s="144" t="s">
        <v>858</v>
      </c>
      <c r="R28" s="144"/>
      <c r="S28" s="144"/>
      <c r="T28" s="144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  <c r="AL28" s="143"/>
      <c r="AM28" s="143"/>
      <c r="AN28" s="144"/>
      <c r="AO28" s="144"/>
      <c r="AP28" s="144"/>
      <c r="AQ28" s="144"/>
      <c r="AR28" s="144"/>
      <c r="AS28" s="144"/>
    </row>
    <row r="29" spans="1:45" ht="19" customHeight="1">
      <c r="A29" s="144"/>
      <c r="E29" s="167" t="s">
        <v>829</v>
      </c>
      <c r="F29" s="168">
        <f>AVERAGE(1.38,1.36,1.39)</f>
        <v>1.3766666666666667</v>
      </c>
      <c r="G29" s="144"/>
      <c r="H29" s="144"/>
      <c r="I29" s="167" t="s">
        <v>829</v>
      </c>
      <c r="J29" s="168">
        <f>AVERAGE(1.23,1.24,1.22)</f>
        <v>1.2299999999999998</v>
      </c>
      <c r="K29" s="144"/>
      <c r="L29" s="144"/>
      <c r="M29" s="167" t="s">
        <v>829</v>
      </c>
      <c r="N29" s="168">
        <f>AVERAGE(1.83,1.87,1.83)</f>
        <v>1.8433333333333335</v>
      </c>
      <c r="O29" s="144"/>
      <c r="P29" s="144"/>
      <c r="Q29" s="167" t="s">
        <v>829</v>
      </c>
      <c r="R29" s="168">
        <f>AVERAGE(2.63,2.27,2.28)</f>
        <v>2.3933333333333331</v>
      </c>
      <c r="S29" s="144"/>
      <c r="T29" s="144"/>
      <c r="U29" s="143"/>
      <c r="V29" s="154"/>
      <c r="W29" s="155"/>
      <c r="X29" s="143"/>
      <c r="Y29" s="154"/>
      <c r="Z29" s="154"/>
      <c r="AA29" s="155"/>
      <c r="AB29" s="143"/>
      <c r="AC29" s="154"/>
      <c r="AD29" s="155"/>
      <c r="AE29" s="143"/>
      <c r="AF29" s="143"/>
      <c r="AG29" s="143"/>
      <c r="AH29" s="143"/>
      <c r="AI29" s="143"/>
      <c r="AJ29" s="143"/>
      <c r="AK29" s="143"/>
      <c r="AL29" s="143"/>
      <c r="AM29" s="143"/>
      <c r="AN29" s="144"/>
      <c r="AO29" s="144"/>
      <c r="AP29" s="144"/>
      <c r="AQ29" s="144"/>
      <c r="AR29" s="144"/>
      <c r="AS29" s="144"/>
    </row>
    <row r="30" spans="1:45" ht="19" customHeight="1">
      <c r="A30" s="144"/>
      <c r="E30" s="169" t="s">
        <v>830</v>
      </c>
      <c r="F30" s="170">
        <f>_xlfn.STDEV.S(0.017,0.016,0.016)</f>
        <v>5.7735026918962623E-4</v>
      </c>
      <c r="G30" s="144"/>
      <c r="H30" s="144"/>
      <c r="I30" s="169" t="s">
        <v>830</v>
      </c>
      <c r="J30" s="170">
        <f>_xlfn.STDEV.S(0.018,0.019,0.016)</f>
        <v>1.5275252316519462E-3</v>
      </c>
      <c r="K30" s="144"/>
      <c r="L30" s="144"/>
      <c r="M30" s="169" t="s">
        <v>830</v>
      </c>
      <c r="N30" s="170">
        <f>_xlfn.STDEV.S(0.016,0.017,0.016)</f>
        <v>5.7735026918962623E-4</v>
      </c>
      <c r="O30" s="144"/>
      <c r="P30" s="144"/>
      <c r="Q30" s="169" t="s">
        <v>830</v>
      </c>
      <c r="R30" s="170">
        <f>_xlfn.STDEV.S(0.021,0.019,0.015)</f>
        <v>3.0550504633038941E-3</v>
      </c>
      <c r="S30" s="144"/>
      <c r="T30" s="144"/>
      <c r="U30" s="143"/>
      <c r="V30" s="154"/>
      <c r="W30" s="156"/>
      <c r="X30" s="143"/>
      <c r="Y30" s="46"/>
      <c r="Z30" s="154"/>
      <c r="AA30" s="156"/>
      <c r="AB30" s="143"/>
      <c r="AC30" s="46"/>
      <c r="AD30" s="156"/>
      <c r="AE30" s="143"/>
      <c r="AF30" s="143"/>
      <c r="AG30" s="143"/>
      <c r="AH30" s="143"/>
      <c r="AI30" s="143"/>
      <c r="AJ30" s="143"/>
      <c r="AK30" s="143"/>
      <c r="AL30" s="143"/>
      <c r="AM30" s="143"/>
      <c r="AN30" s="144"/>
      <c r="AO30" s="144"/>
      <c r="AP30" s="144"/>
      <c r="AQ30" s="144"/>
      <c r="AR30" s="144"/>
      <c r="AS30" s="144"/>
    </row>
    <row r="31" spans="1:45" s="10" customFormat="1" ht="19">
      <c r="A31" s="143"/>
      <c r="B31" s="143"/>
      <c r="C31" s="143"/>
      <c r="D31" s="143"/>
      <c r="E31" s="46"/>
      <c r="F31" s="156"/>
      <c r="G31" s="143"/>
      <c r="H31" s="143"/>
      <c r="I31" s="46"/>
      <c r="J31" s="156"/>
      <c r="K31" s="143"/>
      <c r="L31" s="143"/>
      <c r="P31" s="143"/>
      <c r="Q31" s="143"/>
      <c r="R31" s="143"/>
      <c r="S31" s="143"/>
      <c r="T31" s="143"/>
      <c r="U31" s="143"/>
      <c r="V31" s="143"/>
      <c r="W31" s="143"/>
      <c r="X31" s="143"/>
      <c r="Y31" s="46"/>
      <c r="Z31" s="156"/>
      <c r="AA31" s="143"/>
      <c r="AB31" s="143"/>
      <c r="AC31" s="46"/>
      <c r="AD31" s="156"/>
      <c r="AE31" s="143"/>
      <c r="AF31" s="143"/>
      <c r="AG31" s="143"/>
      <c r="AH31" s="143"/>
      <c r="AI31" s="143"/>
      <c r="AJ31" s="143"/>
      <c r="AK31" s="143"/>
      <c r="AL31" s="143"/>
      <c r="AM31" s="143"/>
      <c r="AN31" s="143"/>
      <c r="AO31" s="143"/>
      <c r="AP31" s="143"/>
      <c r="AQ31" s="143"/>
      <c r="AR31" s="143"/>
      <c r="AS31" s="143"/>
    </row>
    <row r="32" spans="1:45" s="171" customFormat="1" ht="19">
      <c r="A32" s="159"/>
      <c r="B32" s="159"/>
      <c r="C32" s="159"/>
      <c r="D32" s="159"/>
      <c r="E32" s="161"/>
      <c r="F32" s="160"/>
      <c r="G32" s="161"/>
      <c r="H32" s="160"/>
      <c r="I32" s="176" t="s">
        <v>860</v>
      </c>
      <c r="J32" s="160"/>
      <c r="K32" s="161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43"/>
      <c r="AG32" s="143"/>
      <c r="AH32" s="143"/>
      <c r="AI32" s="143"/>
      <c r="AJ32" s="143"/>
      <c r="AK32" s="143"/>
      <c r="AL32" s="143"/>
      <c r="AM32" s="143"/>
      <c r="AN32" s="159"/>
      <c r="AO32" s="159"/>
      <c r="AP32" s="159"/>
      <c r="AQ32" s="159"/>
      <c r="AR32" s="159"/>
      <c r="AS32" s="159"/>
    </row>
    <row r="33" spans="1:45" s="144" customFormat="1" ht="19.5" customHeight="1">
      <c r="E33" s="272" t="s">
        <v>831</v>
      </c>
      <c r="F33" s="272"/>
      <c r="I33" s="163" t="s">
        <v>832</v>
      </c>
      <c r="J33" s="163"/>
      <c r="K33" s="163"/>
      <c r="M33" s="163" t="s">
        <v>833</v>
      </c>
      <c r="N33" s="163"/>
      <c r="O33" s="163"/>
      <c r="Q33" s="272" t="s">
        <v>834</v>
      </c>
      <c r="R33" s="272"/>
      <c r="S33" s="272"/>
      <c r="U33" s="46"/>
      <c r="V33" s="46"/>
      <c r="W33" s="143"/>
      <c r="X33" s="143"/>
      <c r="Y33" s="162"/>
      <c r="Z33" s="46"/>
      <c r="AA33" s="143"/>
      <c r="AB33" s="143"/>
      <c r="AC33" s="162"/>
      <c r="AD33" s="162"/>
      <c r="AE33" s="143"/>
      <c r="AF33" s="143"/>
      <c r="AG33" s="143"/>
      <c r="AH33" s="143"/>
      <c r="AI33" s="143"/>
      <c r="AJ33" s="143"/>
      <c r="AK33" s="143"/>
      <c r="AL33" s="143"/>
      <c r="AM33" s="143"/>
    </row>
    <row r="34" spans="1:45" ht="19.5" customHeight="1">
      <c r="A34" s="144"/>
      <c r="E34" s="172" t="s">
        <v>862</v>
      </c>
      <c r="F34" s="172"/>
      <c r="G34" s="172"/>
      <c r="I34" s="144" t="s">
        <v>867</v>
      </c>
      <c r="J34" s="144"/>
      <c r="K34" s="144"/>
      <c r="L34" s="144"/>
      <c r="M34" s="172" t="s">
        <v>145</v>
      </c>
      <c r="N34" s="172"/>
      <c r="O34" s="172"/>
      <c r="P34" s="144"/>
      <c r="Q34" s="172" t="s">
        <v>878</v>
      </c>
      <c r="R34" s="172"/>
      <c r="S34" s="172"/>
      <c r="T34" s="144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  <c r="AE34" s="143"/>
      <c r="AF34" s="143"/>
      <c r="AG34" s="143"/>
      <c r="AH34" s="143"/>
      <c r="AI34" s="143"/>
      <c r="AJ34" s="143"/>
      <c r="AK34" s="143"/>
      <c r="AL34" s="143"/>
      <c r="AM34" s="143"/>
      <c r="AN34" s="144"/>
      <c r="AO34" s="144"/>
      <c r="AP34" s="144"/>
      <c r="AQ34" s="144"/>
      <c r="AR34" s="144"/>
      <c r="AS34" s="144"/>
    </row>
    <row r="35" spans="1:45" ht="19">
      <c r="A35" s="144"/>
      <c r="E35" s="172" t="s">
        <v>863</v>
      </c>
      <c r="F35" s="172"/>
      <c r="G35" s="172"/>
      <c r="I35" s="144" t="s">
        <v>868</v>
      </c>
      <c r="J35" s="144"/>
      <c r="K35" s="144"/>
      <c r="L35" s="144"/>
      <c r="M35" s="172" t="s">
        <v>873</v>
      </c>
      <c r="N35" s="172"/>
      <c r="O35" s="172"/>
      <c r="P35" s="144"/>
      <c r="Q35" s="172" t="s">
        <v>879</v>
      </c>
      <c r="R35" s="172"/>
      <c r="S35" s="172"/>
      <c r="T35" s="144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  <c r="AL35" s="143"/>
      <c r="AM35" s="143"/>
      <c r="AN35" s="144"/>
      <c r="AO35" s="144"/>
      <c r="AP35" s="144"/>
      <c r="AQ35" s="144"/>
      <c r="AR35" s="144"/>
      <c r="AS35" s="144"/>
    </row>
    <row r="36" spans="1:45" ht="19" customHeight="1">
      <c r="A36" s="144"/>
      <c r="E36" s="172"/>
      <c r="F36" s="172"/>
      <c r="G36" s="172"/>
      <c r="I36" s="144"/>
      <c r="J36" s="144"/>
      <c r="K36" s="144"/>
      <c r="L36" s="144"/>
      <c r="M36" s="172"/>
      <c r="N36" s="172"/>
      <c r="O36" s="172"/>
      <c r="P36" s="144"/>
      <c r="Q36" s="172"/>
      <c r="R36" s="172"/>
      <c r="S36" s="172"/>
      <c r="T36" s="144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  <c r="AE36" s="143"/>
      <c r="AF36" s="143"/>
      <c r="AG36" s="143"/>
      <c r="AH36" s="143"/>
      <c r="AI36" s="143"/>
      <c r="AJ36" s="143"/>
      <c r="AK36" s="143"/>
      <c r="AL36" s="143"/>
      <c r="AM36" s="143"/>
      <c r="AN36" s="144"/>
      <c r="AO36" s="144"/>
      <c r="AP36" s="144"/>
      <c r="AQ36" s="144"/>
      <c r="AR36" s="144"/>
      <c r="AS36" s="144"/>
    </row>
    <row r="37" spans="1:45" ht="19" customHeight="1">
      <c r="A37" s="144"/>
      <c r="E37" s="172" t="s">
        <v>864</v>
      </c>
      <c r="F37" s="172"/>
      <c r="G37" s="172"/>
      <c r="I37" s="144" t="s">
        <v>869</v>
      </c>
      <c r="J37" s="144"/>
      <c r="K37" s="144"/>
      <c r="L37" s="144"/>
      <c r="M37" s="172" t="s">
        <v>874</v>
      </c>
      <c r="N37" s="172"/>
      <c r="O37" s="172"/>
      <c r="P37" s="144"/>
      <c r="Q37" s="172" t="s">
        <v>880</v>
      </c>
      <c r="R37" s="172"/>
      <c r="S37" s="172"/>
      <c r="T37" s="144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3"/>
      <c r="AH37" s="143"/>
      <c r="AI37" s="143"/>
      <c r="AJ37" s="143"/>
      <c r="AK37" s="143"/>
      <c r="AL37" s="143"/>
      <c r="AM37" s="143"/>
      <c r="AN37" s="144"/>
      <c r="AO37" s="144"/>
      <c r="AP37" s="144"/>
      <c r="AQ37" s="144"/>
      <c r="AR37" s="144"/>
      <c r="AS37" s="144"/>
    </row>
    <row r="38" spans="1:45" ht="19">
      <c r="A38" s="144"/>
      <c r="E38" s="172" t="s">
        <v>865</v>
      </c>
      <c r="F38" s="172"/>
      <c r="G38" s="172"/>
      <c r="I38" s="144" t="s">
        <v>870</v>
      </c>
      <c r="J38" s="144"/>
      <c r="K38" s="144"/>
      <c r="L38" s="144"/>
      <c r="M38" s="172" t="s">
        <v>875</v>
      </c>
      <c r="N38" s="172"/>
      <c r="O38" s="172"/>
      <c r="P38" s="144"/>
      <c r="Q38" s="172" t="s">
        <v>881</v>
      </c>
      <c r="R38" s="172"/>
      <c r="S38" s="172"/>
      <c r="T38" s="144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  <c r="AE38" s="143"/>
      <c r="AF38" s="143"/>
      <c r="AG38" s="143"/>
      <c r="AH38" s="143"/>
      <c r="AI38" s="143"/>
      <c r="AJ38" s="143"/>
      <c r="AK38" s="143"/>
      <c r="AL38" s="143"/>
      <c r="AM38" s="143"/>
      <c r="AN38" s="144"/>
      <c r="AO38" s="144"/>
      <c r="AP38" s="144"/>
      <c r="AQ38" s="144"/>
      <c r="AR38" s="144"/>
      <c r="AS38" s="144"/>
    </row>
    <row r="39" spans="1:45" ht="19">
      <c r="A39" s="144"/>
      <c r="E39" s="172"/>
      <c r="F39" s="172"/>
      <c r="G39" s="172"/>
      <c r="I39" s="144"/>
      <c r="J39" s="144"/>
      <c r="K39" s="144"/>
      <c r="L39" s="144"/>
      <c r="M39" s="172"/>
      <c r="N39" s="172"/>
      <c r="O39" s="172"/>
      <c r="P39" s="144"/>
      <c r="Q39" s="172"/>
      <c r="R39" s="172"/>
      <c r="S39" s="172"/>
      <c r="T39" s="144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3"/>
      <c r="AJ39" s="143"/>
      <c r="AK39" s="143"/>
      <c r="AL39" s="143"/>
      <c r="AM39" s="143"/>
      <c r="AN39" s="144"/>
      <c r="AO39" s="144"/>
      <c r="AP39" s="144"/>
      <c r="AQ39" s="144"/>
      <c r="AR39" s="144"/>
      <c r="AS39" s="144"/>
    </row>
    <row r="40" spans="1:45" ht="19">
      <c r="A40" s="144"/>
      <c r="E40" s="172" t="s">
        <v>866</v>
      </c>
      <c r="F40" s="172"/>
      <c r="G40" s="172"/>
      <c r="I40" s="144" t="s">
        <v>871</v>
      </c>
      <c r="J40" s="144"/>
      <c r="K40" s="144"/>
      <c r="L40" s="144"/>
      <c r="M40" s="172" t="s">
        <v>876</v>
      </c>
      <c r="N40" s="172"/>
      <c r="O40" s="172"/>
      <c r="P40" s="144"/>
      <c r="Q40" s="172" t="s">
        <v>882</v>
      </c>
      <c r="R40" s="172"/>
      <c r="S40" s="172"/>
      <c r="T40" s="144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  <c r="AL40" s="143"/>
      <c r="AM40" s="143"/>
      <c r="AN40" s="144"/>
      <c r="AO40" s="144"/>
      <c r="AP40" s="144"/>
      <c r="AQ40" s="144"/>
      <c r="AR40" s="144"/>
      <c r="AS40" s="144"/>
    </row>
    <row r="41" spans="1:45" ht="19">
      <c r="A41" s="144"/>
      <c r="E41" s="172" t="s">
        <v>863</v>
      </c>
      <c r="F41" s="172"/>
      <c r="G41" s="172"/>
      <c r="I41" s="144" t="s">
        <v>872</v>
      </c>
      <c r="J41" s="144"/>
      <c r="L41" s="144"/>
      <c r="M41" s="172" t="s">
        <v>877</v>
      </c>
      <c r="N41" s="172"/>
      <c r="O41" s="172"/>
      <c r="P41" s="144"/>
      <c r="Q41" s="172" t="s">
        <v>883</v>
      </c>
      <c r="R41" s="172"/>
      <c r="S41" s="172"/>
      <c r="T41" s="144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3"/>
      <c r="AG41" s="143"/>
      <c r="AH41" s="143"/>
      <c r="AI41" s="143"/>
      <c r="AJ41" s="143"/>
      <c r="AK41" s="143"/>
      <c r="AL41" s="143"/>
      <c r="AM41" s="143"/>
      <c r="AN41" s="144"/>
      <c r="AO41" s="144"/>
      <c r="AP41" s="144"/>
      <c r="AQ41" s="144"/>
      <c r="AR41" s="144"/>
      <c r="AS41" s="144"/>
    </row>
    <row r="42" spans="1:45" ht="19">
      <c r="A42" s="144"/>
      <c r="E42" s="173" t="s">
        <v>829</v>
      </c>
      <c r="F42" s="168">
        <f>AVERAGE(1.73,2.18,1.73)</f>
        <v>1.8800000000000001</v>
      </c>
      <c r="G42" s="172"/>
      <c r="I42" s="173" t="s">
        <v>829</v>
      </c>
      <c r="J42" s="168">
        <f>AVERAGE(1.34,1.34,1.38)</f>
        <v>1.3533333333333335</v>
      </c>
      <c r="K42" s="144"/>
      <c r="L42" s="144"/>
      <c r="M42" s="173" t="s">
        <v>829</v>
      </c>
      <c r="N42" s="168">
        <f>AVERAGE(2.04,2.01,2.06)</f>
        <v>2.0366666666666666</v>
      </c>
      <c r="O42" s="172"/>
      <c r="P42" s="144"/>
      <c r="Q42" s="173" t="s">
        <v>829</v>
      </c>
      <c r="R42" s="168">
        <f>AVERAGE(3.39,3.48,4.62)</f>
        <v>3.83</v>
      </c>
      <c r="S42" s="172"/>
      <c r="T42" s="144"/>
      <c r="U42" s="154"/>
      <c r="V42" s="174"/>
      <c r="W42" s="155"/>
      <c r="X42" s="143"/>
      <c r="Y42" s="154"/>
      <c r="Z42" s="174"/>
      <c r="AA42" s="155"/>
      <c r="AB42" s="143"/>
      <c r="AC42" s="154"/>
      <c r="AD42" s="155"/>
      <c r="AE42" s="143"/>
      <c r="AF42" s="143"/>
      <c r="AG42" s="143"/>
      <c r="AH42" s="143"/>
      <c r="AI42" s="143"/>
      <c r="AJ42" s="143"/>
      <c r="AK42" s="143"/>
      <c r="AL42" s="143"/>
      <c r="AM42" s="143"/>
      <c r="AN42" s="144"/>
      <c r="AO42" s="144"/>
      <c r="AP42" s="144"/>
      <c r="AQ42" s="144"/>
      <c r="AR42" s="144"/>
      <c r="AS42" s="144"/>
    </row>
    <row r="43" spans="1:45" ht="19">
      <c r="A43" s="144"/>
      <c r="E43" s="175" t="s">
        <v>830</v>
      </c>
      <c r="F43" s="170">
        <f>_xlfn.STDEV.S(0.011,0.015,0.011)</f>
        <v>2.3094010767585032E-3</v>
      </c>
      <c r="G43" s="172"/>
      <c r="I43" s="175" t="s">
        <v>830</v>
      </c>
      <c r="J43" s="170">
        <f>_xlfn.STDEV.S(0.01,0.014,0.012)</f>
        <v>2E-3</v>
      </c>
      <c r="K43" s="144"/>
      <c r="L43" s="144"/>
      <c r="M43" s="175" t="s">
        <v>830</v>
      </c>
      <c r="N43" s="170">
        <f>_xlfn.STDEV.S(0.01,0.01,0.01)</f>
        <v>0</v>
      </c>
      <c r="O43" s="172"/>
      <c r="P43" s="144"/>
      <c r="Q43" s="175" t="s">
        <v>830</v>
      </c>
      <c r="R43" s="170">
        <f>_xlfn.STDEV.S(0.012,0.012,0.015)</f>
        <v>1.7320508075688767E-3</v>
      </c>
      <c r="S43" s="172"/>
      <c r="T43" s="144"/>
      <c r="U43" s="46"/>
      <c r="V43" s="174"/>
      <c r="W43" s="156"/>
      <c r="X43" s="143"/>
      <c r="Y43" s="46"/>
      <c r="Z43" s="174"/>
      <c r="AA43" s="156"/>
      <c r="AB43" s="143"/>
      <c r="AC43" s="46"/>
      <c r="AD43" s="156"/>
      <c r="AE43" s="143"/>
      <c r="AF43" s="143"/>
      <c r="AG43" s="143"/>
      <c r="AH43" s="143"/>
      <c r="AI43" s="143"/>
      <c r="AJ43" s="143"/>
      <c r="AK43" s="143"/>
      <c r="AL43" s="143"/>
      <c r="AM43" s="143"/>
      <c r="AN43" s="144"/>
      <c r="AO43" s="144"/>
      <c r="AP43" s="144"/>
      <c r="AQ43" s="144"/>
      <c r="AR43" s="144"/>
      <c r="AS43" s="144"/>
    </row>
    <row r="44" spans="1:45" s="171" customFormat="1" ht="19">
      <c r="A44" s="159"/>
      <c r="B44" s="159"/>
      <c r="C44" s="159"/>
      <c r="D44" s="159"/>
      <c r="E44" s="161"/>
      <c r="F44" s="160"/>
      <c r="G44" s="161"/>
      <c r="H44" s="160"/>
      <c r="I44" s="176" t="s">
        <v>908</v>
      </c>
      <c r="J44" s="160"/>
      <c r="K44" s="161"/>
      <c r="L44" s="160"/>
      <c r="M44" s="160"/>
      <c r="N44" s="160"/>
      <c r="O44" s="160"/>
      <c r="P44" s="160"/>
      <c r="Q44" s="160"/>
      <c r="R44" s="160"/>
      <c r="S44" s="160"/>
      <c r="T44" s="160"/>
      <c r="U44" s="160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43"/>
      <c r="AG44" s="143"/>
      <c r="AH44" s="143"/>
      <c r="AI44" s="143"/>
      <c r="AJ44" s="143"/>
      <c r="AK44" s="143"/>
      <c r="AL44" s="143"/>
      <c r="AM44" s="143"/>
      <c r="AN44" s="159"/>
      <c r="AO44" s="159"/>
      <c r="AP44" s="159"/>
      <c r="AQ44" s="159"/>
      <c r="AR44" s="159"/>
      <c r="AS44" s="159"/>
    </row>
    <row r="45" spans="1:45" s="144" customFormat="1" ht="19.5" customHeight="1">
      <c r="E45" s="272" t="s">
        <v>831</v>
      </c>
      <c r="F45" s="272"/>
      <c r="I45" s="163" t="s">
        <v>832</v>
      </c>
      <c r="J45" s="163"/>
      <c r="K45" s="163"/>
      <c r="M45" s="163" t="s">
        <v>833</v>
      </c>
      <c r="N45" s="163"/>
      <c r="O45" s="163"/>
      <c r="Q45" s="272" t="s">
        <v>834</v>
      </c>
      <c r="R45" s="272"/>
      <c r="S45" s="272"/>
      <c r="U45" s="46"/>
      <c r="V45" s="46"/>
      <c r="W45" s="143"/>
      <c r="X45" s="143"/>
      <c r="Y45" s="162"/>
      <c r="Z45" s="46"/>
      <c r="AA45" s="143"/>
      <c r="AB45" s="143"/>
      <c r="AC45" s="162"/>
      <c r="AD45" s="162"/>
      <c r="AE45" s="143"/>
      <c r="AF45" s="143"/>
      <c r="AG45" s="143"/>
      <c r="AH45" s="143"/>
      <c r="AI45" s="143"/>
      <c r="AJ45" s="143"/>
      <c r="AK45" s="143"/>
      <c r="AL45" s="143"/>
      <c r="AM45" s="143"/>
    </row>
    <row r="46" spans="1:45" ht="19.5" customHeight="1">
      <c r="A46" s="144"/>
      <c r="E46" s="172" t="s">
        <v>909</v>
      </c>
      <c r="F46" s="172"/>
      <c r="G46" s="172"/>
      <c r="I46" s="144" t="s">
        <v>914</v>
      </c>
      <c r="J46" s="144"/>
      <c r="K46" s="144"/>
      <c r="L46" s="144"/>
      <c r="M46" s="172" t="s">
        <v>919</v>
      </c>
      <c r="N46" s="172"/>
      <c r="O46" s="172"/>
      <c r="P46" s="144"/>
      <c r="Q46" s="172" t="s">
        <v>921</v>
      </c>
      <c r="R46" s="172"/>
      <c r="S46" s="172"/>
      <c r="T46" s="144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4"/>
      <c r="AO46" s="144"/>
      <c r="AP46" s="144"/>
      <c r="AQ46" s="144"/>
      <c r="AR46" s="144"/>
      <c r="AS46" s="144"/>
    </row>
    <row r="47" spans="1:45" ht="19">
      <c r="A47" s="144"/>
      <c r="E47" s="172" t="s">
        <v>910</v>
      </c>
      <c r="F47" s="172"/>
      <c r="G47" s="172"/>
      <c r="I47" s="144" t="s">
        <v>915</v>
      </c>
      <c r="J47" s="144"/>
      <c r="K47" s="144"/>
      <c r="L47" s="144"/>
      <c r="M47" s="172" t="s">
        <v>920</v>
      </c>
      <c r="N47" s="172"/>
      <c r="O47" s="172"/>
      <c r="P47" s="144"/>
      <c r="Q47" s="172" t="s">
        <v>922</v>
      </c>
      <c r="R47" s="172"/>
      <c r="S47" s="172"/>
      <c r="T47" s="144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4"/>
      <c r="AO47" s="144"/>
      <c r="AP47" s="144"/>
      <c r="AQ47" s="144"/>
      <c r="AR47" s="144"/>
      <c r="AS47" s="144"/>
    </row>
    <row r="48" spans="1:45" ht="19" customHeight="1">
      <c r="A48" s="144"/>
      <c r="E48" s="172"/>
      <c r="F48" s="172"/>
      <c r="G48" s="172"/>
      <c r="I48" s="144"/>
      <c r="J48" s="144"/>
      <c r="K48" s="144"/>
      <c r="L48" s="144"/>
      <c r="M48" s="172"/>
      <c r="N48" s="172"/>
      <c r="O48" s="172"/>
      <c r="P48" s="144"/>
      <c r="Q48" s="172"/>
      <c r="R48" s="172"/>
      <c r="S48" s="172"/>
      <c r="T48" s="144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  <c r="AE48" s="143"/>
      <c r="AF48" s="143"/>
      <c r="AG48" s="143"/>
      <c r="AH48" s="143"/>
      <c r="AI48" s="143"/>
      <c r="AJ48" s="143"/>
      <c r="AK48" s="143"/>
      <c r="AL48" s="143"/>
      <c r="AM48" s="143"/>
      <c r="AN48" s="144"/>
      <c r="AO48" s="144"/>
      <c r="AP48" s="144"/>
      <c r="AQ48" s="144"/>
      <c r="AR48" s="144"/>
      <c r="AS48" s="144"/>
    </row>
    <row r="49" spans="1:45" ht="19" customHeight="1">
      <c r="A49" s="144"/>
      <c r="E49" s="172" t="s">
        <v>911</v>
      </c>
      <c r="F49" s="172"/>
      <c r="G49" s="172"/>
      <c r="I49" s="144" t="s">
        <v>916</v>
      </c>
      <c r="J49" s="144"/>
      <c r="K49" s="144"/>
      <c r="L49" s="144"/>
      <c r="M49" s="172"/>
      <c r="N49" s="172"/>
      <c r="O49" s="172"/>
      <c r="P49" s="144"/>
      <c r="Q49" s="172" t="s">
        <v>923</v>
      </c>
      <c r="R49" s="172"/>
      <c r="S49" s="172"/>
      <c r="T49" s="144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3"/>
      <c r="AF49" s="143"/>
      <c r="AG49" s="143"/>
      <c r="AH49" s="143"/>
      <c r="AI49" s="143"/>
      <c r="AJ49" s="143"/>
      <c r="AK49" s="143"/>
      <c r="AL49" s="143"/>
      <c r="AM49" s="143"/>
      <c r="AN49" s="144"/>
      <c r="AO49" s="144"/>
      <c r="AP49" s="144"/>
      <c r="AQ49" s="144"/>
      <c r="AR49" s="144"/>
      <c r="AS49" s="144"/>
    </row>
    <row r="50" spans="1:45" ht="19">
      <c r="A50" s="144"/>
      <c r="E50" s="172" t="s">
        <v>912</v>
      </c>
      <c r="F50" s="172"/>
      <c r="G50" s="172"/>
      <c r="I50" s="144" t="s">
        <v>917</v>
      </c>
      <c r="J50" s="144"/>
      <c r="K50" s="144"/>
      <c r="L50" s="144"/>
      <c r="M50" s="172"/>
      <c r="N50" s="172"/>
      <c r="O50" s="172"/>
      <c r="P50" s="144"/>
      <c r="Q50" s="172" t="s">
        <v>924</v>
      </c>
      <c r="R50" s="172"/>
      <c r="S50" s="172"/>
      <c r="T50" s="144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3"/>
      <c r="AL50" s="143"/>
      <c r="AM50" s="143"/>
      <c r="AN50" s="144"/>
      <c r="AO50" s="144"/>
      <c r="AP50" s="144"/>
      <c r="AQ50" s="144"/>
      <c r="AR50" s="144"/>
      <c r="AS50" s="144"/>
    </row>
    <row r="51" spans="1:45" ht="19">
      <c r="A51" s="144"/>
      <c r="E51" s="172"/>
      <c r="F51" s="172"/>
      <c r="G51" s="172"/>
      <c r="I51" s="144"/>
      <c r="J51" s="144"/>
      <c r="K51" s="144"/>
      <c r="L51" s="144"/>
      <c r="M51" s="172"/>
      <c r="N51" s="172"/>
      <c r="O51" s="172"/>
      <c r="P51" s="144"/>
      <c r="Q51" s="172"/>
      <c r="R51" s="172"/>
      <c r="S51" s="172"/>
      <c r="T51" s="144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  <c r="AL51" s="143"/>
      <c r="AM51" s="143"/>
      <c r="AN51" s="144"/>
      <c r="AO51" s="144"/>
      <c r="AP51" s="144"/>
      <c r="AQ51" s="144"/>
      <c r="AR51" s="144"/>
      <c r="AS51" s="144"/>
    </row>
    <row r="52" spans="1:45" ht="19">
      <c r="A52" s="144"/>
      <c r="E52" s="172" t="s">
        <v>184</v>
      </c>
      <c r="F52" s="172"/>
      <c r="G52" s="172"/>
      <c r="I52" s="144" t="s">
        <v>918</v>
      </c>
      <c r="J52" s="144"/>
      <c r="K52" s="144"/>
      <c r="L52" s="144"/>
      <c r="M52" s="172"/>
      <c r="N52" s="172"/>
      <c r="O52" s="172"/>
      <c r="P52" s="144"/>
      <c r="Q52" s="172"/>
      <c r="R52" s="172"/>
      <c r="S52" s="172"/>
      <c r="T52" s="144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  <c r="AE52" s="143"/>
      <c r="AF52" s="143"/>
      <c r="AG52" s="143"/>
      <c r="AH52" s="143"/>
      <c r="AI52" s="143"/>
      <c r="AJ52" s="143"/>
      <c r="AK52" s="143"/>
      <c r="AL52" s="143"/>
      <c r="AM52" s="143"/>
      <c r="AN52" s="144"/>
      <c r="AO52" s="144"/>
      <c r="AP52" s="144"/>
      <c r="AQ52" s="144"/>
      <c r="AR52" s="144"/>
      <c r="AS52" s="144"/>
    </row>
    <row r="53" spans="1:45" ht="19">
      <c r="A53" s="144"/>
      <c r="E53" s="172" t="s">
        <v>913</v>
      </c>
      <c r="F53" s="172"/>
      <c r="G53" s="172"/>
      <c r="I53" s="144" t="s">
        <v>130</v>
      </c>
      <c r="J53" s="144"/>
      <c r="L53" s="144"/>
      <c r="M53" s="172"/>
      <c r="N53" s="172"/>
      <c r="O53" s="172"/>
      <c r="P53" s="144"/>
      <c r="Q53" s="172"/>
      <c r="R53" s="172"/>
      <c r="S53" s="172"/>
      <c r="T53" s="144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3"/>
      <c r="AJ53" s="143"/>
      <c r="AK53" s="143"/>
      <c r="AL53" s="143"/>
      <c r="AM53" s="143"/>
      <c r="AN53" s="144"/>
      <c r="AO53" s="144"/>
      <c r="AP53" s="144"/>
      <c r="AQ53" s="144"/>
      <c r="AR53" s="144"/>
      <c r="AS53" s="144"/>
    </row>
    <row r="54" spans="1:45" ht="19">
      <c r="A54" s="144"/>
      <c r="E54" s="173" t="s">
        <v>829</v>
      </c>
      <c r="F54" s="168">
        <f>AVERAGE(2.03,2.53,1.47)</f>
        <v>2.0099999999999998</v>
      </c>
      <c r="G54" s="172"/>
      <c r="I54" s="173" t="s">
        <v>829</v>
      </c>
      <c r="J54" s="168">
        <f>AVERAGE(1.12,1.16,1.11)</f>
        <v>1.1300000000000001</v>
      </c>
      <c r="K54" s="144"/>
      <c r="L54" s="144"/>
      <c r="M54" s="173" t="s">
        <v>829</v>
      </c>
      <c r="N54" s="168">
        <v>1.72</v>
      </c>
      <c r="O54" s="172"/>
      <c r="P54" s="144"/>
      <c r="Q54" s="173" t="s">
        <v>829</v>
      </c>
      <c r="R54" s="168">
        <f>AVERAGE(3.11,3.24)</f>
        <v>3.1749999999999998</v>
      </c>
      <c r="S54" s="172"/>
      <c r="T54" s="144"/>
      <c r="U54" s="154"/>
      <c r="V54" s="174"/>
      <c r="W54" s="155"/>
      <c r="X54" s="143"/>
      <c r="Y54" s="154"/>
      <c r="Z54" s="174"/>
      <c r="AA54" s="155"/>
      <c r="AB54" s="143"/>
      <c r="AC54" s="154"/>
      <c r="AD54" s="155"/>
      <c r="AE54" s="143"/>
      <c r="AF54" s="143"/>
      <c r="AG54" s="143"/>
      <c r="AH54" s="143"/>
      <c r="AI54" s="143"/>
      <c r="AJ54" s="143"/>
      <c r="AK54" s="143"/>
      <c r="AL54" s="143"/>
      <c r="AM54" s="143"/>
      <c r="AN54" s="144"/>
      <c r="AO54" s="144"/>
      <c r="AP54" s="144"/>
      <c r="AQ54" s="144"/>
      <c r="AR54" s="144"/>
      <c r="AS54" s="144"/>
    </row>
    <row r="55" spans="1:45" ht="19">
      <c r="A55" s="144"/>
      <c r="E55" s="175" t="s">
        <v>830</v>
      </c>
      <c r="F55" s="170">
        <f>_xlfn.STDEV.S(0.014,0.014,0.01)</f>
        <v>2.3094010767585032E-3</v>
      </c>
      <c r="G55" s="172"/>
      <c r="I55" s="175" t="s">
        <v>830</v>
      </c>
      <c r="J55" s="170">
        <f>_xlfn.STDEV.S(0.01,0.014,0.012)</f>
        <v>2E-3</v>
      </c>
      <c r="K55" s="144"/>
      <c r="L55" s="144"/>
      <c r="M55" s="175" t="s">
        <v>830</v>
      </c>
      <c r="N55" s="170">
        <f>_xlfn.STDEV.S(0.01,0.01,0.01)</f>
        <v>0</v>
      </c>
      <c r="O55" s="172"/>
      <c r="P55" s="144"/>
      <c r="Q55" s="175" t="s">
        <v>830</v>
      </c>
      <c r="R55" s="170">
        <f>_xlfn.STDEV.S(0.012,0.012,0.015)</f>
        <v>1.7320508075688767E-3</v>
      </c>
      <c r="S55" s="172"/>
      <c r="T55" s="144"/>
      <c r="U55" s="46"/>
      <c r="V55" s="174"/>
      <c r="W55" s="156"/>
      <c r="X55" s="143"/>
      <c r="Y55" s="46"/>
      <c r="Z55" s="174"/>
      <c r="AA55" s="156"/>
      <c r="AB55" s="143"/>
      <c r="AC55" s="46"/>
      <c r="AD55" s="156"/>
      <c r="AE55" s="143"/>
      <c r="AF55" s="143"/>
      <c r="AG55" s="143"/>
      <c r="AH55" s="143"/>
      <c r="AI55" s="143"/>
      <c r="AJ55" s="143"/>
      <c r="AK55" s="143"/>
      <c r="AL55" s="143"/>
      <c r="AM55" s="143"/>
      <c r="AN55" s="144"/>
      <c r="AO55" s="144"/>
      <c r="AP55" s="144"/>
      <c r="AQ55" s="144"/>
      <c r="AR55" s="144"/>
      <c r="AS55" s="144"/>
    </row>
    <row r="56" spans="1:45" s="171" customFormat="1" ht="19">
      <c r="A56" s="159"/>
      <c r="B56" s="159"/>
      <c r="C56" s="159"/>
      <c r="D56" s="159"/>
      <c r="E56" s="161"/>
      <c r="F56" s="160"/>
      <c r="G56" s="161"/>
      <c r="H56" s="160"/>
      <c r="I56" s="176" t="s">
        <v>925</v>
      </c>
      <c r="J56" s="160"/>
      <c r="K56" s="161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43"/>
      <c r="AG56" s="143"/>
      <c r="AH56" s="143"/>
      <c r="AI56" s="143"/>
      <c r="AJ56" s="143"/>
      <c r="AK56" s="143"/>
      <c r="AL56" s="143"/>
      <c r="AM56" s="143"/>
      <c r="AN56" s="159"/>
      <c r="AO56" s="159"/>
      <c r="AP56" s="159"/>
      <c r="AQ56" s="159"/>
      <c r="AR56" s="159"/>
      <c r="AS56" s="159"/>
    </row>
    <row r="57" spans="1:45" s="144" customFormat="1" ht="19.5" customHeight="1">
      <c r="E57" s="272" t="s">
        <v>831</v>
      </c>
      <c r="F57" s="272"/>
      <c r="I57" s="163" t="s">
        <v>832</v>
      </c>
      <c r="J57" s="163"/>
      <c r="K57" s="163"/>
      <c r="M57" s="163" t="s">
        <v>833</v>
      </c>
      <c r="N57" s="163"/>
      <c r="O57" s="163"/>
      <c r="Q57" s="272" t="s">
        <v>834</v>
      </c>
      <c r="R57" s="272"/>
      <c r="S57" s="272"/>
      <c r="U57" s="46"/>
      <c r="V57" s="46"/>
      <c r="W57" s="143"/>
      <c r="X57" s="143"/>
      <c r="Y57" s="162"/>
      <c r="Z57" s="46"/>
      <c r="AA57" s="143"/>
      <c r="AB57" s="143"/>
      <c r="AC57" s="162"/>
      <c r="AD57" s="162"/>
      <c r="AE57" s="143"/>
      <c r="AF57" s="143"/>
      <c r="AG57" s="143"/>
      <c r="AH57" s="143"/>
      <c r="AI57" s="143"/>
      <c r="AJ57" s="143"/>
      <c r="AK57" s="143"/>
      <c r="AL57" s="143"/>
      <c r="AM57" s="143"/>
    </row>
    <row r="58" spans="1:45" ht="19.5" customHeight="1">
      <c r="A58" s="144"/>
      <c r="E58" s="172" t="s">
        <v>937</v>
      </c>
      <c r="F58" s="172"/>
      <c r="G58" s="172"/>
      <c r="I58" s="144" t="s">
        <v>935</v>
      </c>
      <c r="J58" s="144"/>
      <c r="K58" s="144"/>
      <c r="L58" s="144"/>
      <c r="M58" s="172" t="s">
        <v>932</v>
      </c>
      <c r="N58" s="172"/>
      <c r="O58" s="172"/>
      <c r="P58" s="144"/>
      <c r="Q58" s="172" t="s">
        <v>930</v>
      </c>
      <c r="R58" s="172"/>
      <c r="S58" s="172"/>
      <c r="T58" s="144"/>
      <c r="U58" s="143"/>
      <c r="V58" s="277" t="s">
        <v>884</v>
      </c>
      <c r="W58" s="277"/>
      <c r="X58" s="277"/>
      <c r="Y58" s="277"/>
      <c r="Z58" s="277"/>
      <c r="AA58" s="177">
        <v>2.5000000000000001E-2</v>
      </c>
      <c r="AB58" s="178">
        <v>0.05</v>
      </c>
      <c r="AC58" s="177">
        <v>0.1</v>
      </c>
      <c r="AD58" s="177">
        <v>0.25</v>
      </c>
      <c r="AE58" s="143"/>
      <c r="AF58" s="143"/>
      <c r="AG58" s="143"/>
      <c r="AH58" s="143"/>
      <c r="AI58" s="143"/>
      <c r="AJ58" s="143"/>
      <c r="AK58" s="143"/>
      <c r="AL58" s="143"/>
      <c r="AM58" s="143"/>
      <c r="AN58" s="144"/>
      <c r="AO58" s="144"/>
      <c r="AP58" s="144"/>
      <c r="AQ58" s="144"/>
      <c r="AR58" s="144"/>
      <c r="AS58" s="144"/>
    </row>
    <row r="59" spans="1:45" ht="19">
      <c r="A59" s="144"/>
      <c r="E59" s="172" t="s">
        <v>136</v>
      </c>
      <c r="F59" s="172"/>
      <c r="G59" s="172"/>
      <c r="I59" s="144" t="s">
        <v>24</v>
      </c>
      <c r="J59" s="144"/>
      <c r="K59" s="144"/>
      <c r="L59" s="144"/>
      <c r="M59" s="172" t="s">
        <v>192</v>
      </c>
      <c r="N59" s="172"/>
      <c r="O59" s="172"/>
      <c r="P59" s="144"/>
      <c r="Q59" s="172" t="s">
        <v>931</v>
      </c>
      <c r="R59" s="172"/>
      <c r="S59" s="172"/>
      <c r="T59" s="144"/>
      <c r="U59" s="143"/>
      <c r="V59" s="276" t="s">
        <v>885</v>
      </c>
      <c r="W59" s="276"/>
      <c r="X59" s="276"/>
      <c r="Y59" s="276"/>
      <c r="Z59" s="276"/>
      <c r="AA59" s="181">
        <v>1.38</v>
      </c>
      <c r="AB59" s="181">
        <v>1.23</v>
      </c>
      <c r="AC59" s="181">
        <v>1.84</v>
      </c>
      <c r="AD59" s="181">
        <v>2.39</v>
      </c>
      <c r="AE59" s="143"/>
      <c r="AF59" s="143"/>
      <c r="AG59" s="143"/>
      <c r="AH59" s="143"/>
      <c r="AI59" s="143"/>
      <c r="AJ59" s="143"/>
      <c r="AK59" s="143"/>
      <c r="AL59" s="143"/>
      <c r="AM59" s="143"/>
      <c r="AN59" s="144"/>
      <c r="AO59" s="144"/>
      <c r="AP59" s="144"/>
      <c r="AQ59" s="144"/>
      <c r="AR59" s="144"/>
      <c r="AS59" s="144"/>
    </row>
    <row r="60" spans="1:45" ht="19" customHeight="1">
      <c r="A60" s="144"/>
      <c r="E60" s="172"/>
      <c r="F60" s="172"/>
      <c r="G60" s="172"/>
      <c r="I60" s="144"/>
      <c r="J60" s="144"/>
      <c r="K60" s="144"/>
      <c r="L60" s="144"/>
      <c r="M60" s="172"/>
      <c r="N60" s="172"/>
      <c r="O60" s="172"/>
      <c r="P60" s="144"/>
      <c r="Q60" s="172"/>
      <c r="R60" s="172"/>
      <c r="S60" s="172"/>
      <c r="T60" s="144"/>
      <c r="U60" s="143"/>
      <c r="V60" s="276" t="s">
        <v>886</v>
      </c>
      <c r="W60" s="276"/>
      <c r="X60" s="276"/>
      <c r="Y60" s="276"/>
      <c r="Z60" s="276"/>
      <c r="AA60" s="181">
        <v>1.88</v>
      </c>
      <c r="AB60" s="181">
        <v>1.35</v>
      </c>
      <c r="AC60" s="181">
        <v>2.04</v>
      </c>
      <c r="AD60" s="181">
        <v>3.83</v>
      </c>
      <c r="AE60" s="143"/>
      <c r="AF60" s="143"/>
      <c r="AG60" s="143"/>
      <c r="AH60" s="143"/>
      <c r="AI60" s="143"/>
      <c r="AJ60" s="143"/>
      <c r="AK60" s="143"/>
      <c r="AL60" s="143"/>
      <c r="AM60" s="143"/>
      <c r="AN60" s="144"/>
      <c r="AO60" s="144"/>
      <c r="AP60" s="144"/>
      <c r="AQ60" s="144"/>
      <c r="AR60" s="144"/>
      <c r="AS60" s="144"/>
    </row>
    <row r="61" spans="1:45" ht="19" customHeight="1">
      <c r="A61" s="144"/>
      <c r="E61" s="172" t="s">
        <v>186</v>
      </c>
      <c r="F61" s="172"/>
      <c r="G61" s="172"/>
      <c r="I61" s="144" t="s">
        <v>602</v>
      </c>
      <c r="J61" s="144"/>
      <c r="K61" s="144"/>
      <c r="L61" s="144"/>
      <c r="M61" s="172" t="s">
        <v>347</v>
      </c>
      <c r="N61" s="172"/>
      <c r="O61" s="172"/>
      <c r="P61" s="144"/>
      <c r="Q61" s="172" t="s">
        <v>926</v>
      </c>
      <c r="R61" s="172"/>
      <c r="S61" s="172"/>
      <c r="T61" s="144"/>
      <c r="U61" s="143"/>
      <c r="V61" s="276" t="s">
        <v>938</v>
      </c>
      <c r="W61" s="276"/>
      <c r="X61" s="276"/>
      <c r="Y61" s="276"/>
      <c r="Z61" s="276"/>
      <c r="AA61" s="181">
        <v>1.1200000000000001</v>
      </c>
      <c r="AB61" s="181">
        <v>0.88</v>
      </c>
      <c r="AC61" s="181">
        <v>1.1100000000000001</v>
      </c>
      <c r="AD61" s="181">
        <v>3.42</v>
      </c>
      <c r="AE61" s="143"/>
      <c r="AF61" s="143"/>
      <c r="AG61" s="143"/>
      <c r="AH61" s="143"/>
      <c r="AI61" s="143"/>
      <c r="AJ61" s="143"/>
      <c r="AK61" s="143"/>
      <c r="AL61" s="143"/>
      <c r="AM61" s="143"/>
      <c r="AN61" s="144"/>
      <c r="AO61" s="144"/>
      <c r="AP61" s="144"/>
      <c r="AQ61" s="144"/>
      <c r="AR61" s="144"/>
      <c r="AS61" s="144"/>
    </row>
    <row r="62" spans="1:45" ht="19">
      <c r="A62" s="144"/>
      <c r="E62" s="172" t="s">
        <v>770</v>
      </c>
      <c r="F62" s="172"/>
      <c r="G62" s="172"/>
      <c r="I62" s="144" t="s">
        <v>226</v>
      </c>
      <c r="J62" s="144"/>
      <c r="K62" s="144"/>
      <c r="L62" s="144"/>
      <c r="M62" s="172" t="s">
        <v>933</v>
      </c>
      <c r="N62" s="172"/>
      <c r="O62" s="172"/>
      <c r="P62" s="144"/>
      <c r="Q62" s="172" t="s">
        <v>927</v>
      </c>
      <c r="R62" s="172"/>
      <c r="S62" s="172"/>
      <c r="T62" s="144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4"/>
      <c r="AO62" s="144"/>
      <c r="AP62" s="144"/>
      <c r="AQ62" s="144"/>
      <c r="AR62" s="144"/>
      <c r="AS62" s="144"/>
    </row>
    <row r="63" spans="1:45" ht="19">
      <c r="A63" s="144"/>
      <c r="E63" s="172"/>
      <c r="F63" s="172"/>
      <c r="G63" s="172"/>
      <c r="I63" s="144"/>
      <c r="J63" s="144"/>
      <c r="K63" s="144"/>
      <c r="L63" s="144"/>
      <c r="M63" s="172"/>
      <c r="N63" s="172"/>
      <c r="O63" s="172"/>
      <c r="P63" s="144"/>
      <c r="Q63" s="172"/>
      <c r="R63" s="172"/>
      <c r="S63" s="172"/>
      <c r="T63" s="144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  <c r="AE63" s="143"/>
      <c r="AF63" s="143"/>
      <c r="AG63" s="143"/>
      <c r="AH63" s="143"/>
      <c r="AI63" s="143"/>
      <c r="AJ63" s="143"/>
      <c r="AK63" s="143"/>
      <c r="AL63" s="143"/>
      <c r="AM63" s="143"/>
      <c r="AN63" s="144"/>
      <c r="AO63" s="144"/>
      <c r="AP63" s="144"/>
      <c r="AQ63" s="144"/>
      <c r="AR63" s="144"/>
      <c r="AS63" s="144"/>
    </row>
    <row r="64" spans="1:45" ht="19">
      <c r="A64" s="144"/>
      <c r="E64" s="172" t="s">
        <v>901</v>
      </c>
      <c r="F64" s="172"/>
      <c r="G64" s="172"/>
      <c r="I64" s="144" t="s">
        <v>465</v>
      </c>
      <c r="J64" s="144"/>
      <c r="K64" s="144"/>
      <c r="L64" s="144"/>
      <c r="M64" s="172" t="s">
        <v>934</v>
      </c>
      <c r="N64" s="172"/>
      <c r="O64" s="172"/>
      <c r="P64" s="144"/>
      <c r="Q64" s="172" t="s">
        <v>928</v>
      </c>
      <c r="R64" s="172"/>
      <c r="S64" s="172"/>
      <c r="T64" s="144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  <c r="AE64" s="143"/>
      <c r="AF64" s="143"/>
      <c r="AG64" s="143"/>
      <c r="AH64" s="143"/>
      <c r="AI64" s="143"/>
      <c r="AJ64" s="143"/>
      <c r="AK64" s="143"/>
      <c r="AL64" s="143"/>
      <c r="AM64" s="143"/>
      <c r="AN64" s="144"/>
      <c r="AO64" s="144"/>
      <c r="AP64" s="144"/>
      <c r="AQ64" s="144"/>
      <c r="AR64" s="144"/>
      <c r="AS64" s="144"/>
    </row>
    <row r="65" spans="1:45" ht="19">
      <c r="A65" s="144"/>
      <c r="E65" s="172" t="s">
        <v>558</v>
      </c>
      <c r="F65" s="172"/>
      <c r="G65" s="172"/>
      <c r="I65" s="144" t="s">
        <v>936</v>
      </c>
      <c r="J65" s="144"/>
      <c r="L65" s="144"/>
      <c r="M65" s="172" t="s">
        <v>499</v>
      </c>
      <c r="N65" s="172"/>
      <c r="O65" s="172"/>
      <c r="P65" s="144"/>
      <c r="Q65" s="172" t="s">
        <v>929</v>
      </c>
      <c r="R65" s="172"/>
      <c r="S65" s="172"/>
      <c r="T65" s="144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3"/>
      <c r="AG65" s="143"/>
      <c r="AH65" s="143"/>
      <c r="AI65" s="143"/>
      <c r="AJ65" s="143"/>
      <c r="AK65" s="143"/>
      <c r="AL65" s="143"/>
      <c r="AM65" s="143"/>
      <c r="AN65" s="144"/>
      <c r="AO65" s="144"/>
      <c r="AP65" s="144"/>
      <c r="AQ65" s="144"/>
      <c r="AR65" s="144"/>
      <c r="AS65" s="144"/>
    </row>
    <row r="66" spans="1:45" ht="19">
      <c r="A66" s="144"/>
      <c r="E66" s="173" t="s">
        <v>829</v>
      </c>
      <c r="F66" s="168">
        <f>AVERAGE(1.14,1.28,0.95)</f>
        <v>1.1233333333333333</v>
      </c>
      <c r="G66" s="172"/>
      <c r="I66" s="173" t="s">
        <v>829</v>
      </c>
      <c r="J66" s="168">
        <f>AVERAGE(0.82,0.82,0.99)</f>
        <v>0.87666666666666659</v>
      </c>
      <c r="K66" s="144"/>
      <c r="L66" s="144"/>
      <c r="M66" s="173" t="s">
        <v>829</v>
      </c>
      <c r="N66" s="168">
        <f>AVERAGE(1.12,1.1,1.11)</f>
        <v>1.1100000000000001</v>
      </c>
      <c r="O66" s="172"/>
      <c r="P66" s="144"/>
      <c r="Q66" s="173" t="s">
        <v>829</v>
      </c>
      <c r="R66" s="168">
        <f>AVERAGE(3.14,3.21,3.91)</f>
        <v>3.42</v>
      </c>
      <c r="S66" s="172"/>
      <c r="T66" s="144"/>
      <c r="U66" s="154"/>
      <c r="V66" s="174"/>
      <c r="W66" s="155"/>
      <c r="X66" s="143"/>
      <c r="Y66" s="154"/>
      <c r="Z66" s="174"/>
      <c r="AA66" s="155"/>
      <c r="AB66" s="143"/>
      <c r="AC66" s="154"/>
      <c r="AD66" s="155"/>
      <c r="AE66" s="143"/>
      <c r="AF66" s="143"/>
      <c r="AG66" s="143"/>
      <c r="AH66" s="143"/>
      <c r="AI66" s="143"/>
      <c r="AJ66" s="143"/>
      <c r="AK66" s="143"/>
      <c r="AL66" s="143"/>
      <c r="AM66" s="143"/>
      <c r="AN66" s="144"/>
      <c r="AO66" s="144"/>
      <c r="AP66" s="144"/>
      <c r="AQ66" s="144"/>
      <c r="AR66" s="144"/>
      <c r="AS66" s="144"/>
    </row>
    <row r="67" spans="1:45" ht="19">
      <c r="A67" s="144"/>
      <c r="E67" s="175" t="s">
        <v>830</v>
      </c>
      <c r="F67" s="170">
        <f>_xlfn.STDEV.S(0.014,0.014,0.01)</f>
        <v>2.3094010767585032E-3</v>
      </c>
      <c r="G67" s="172"/>
      <c r="I67" s="175" t="s">
        <v>830</v>
      </c>
      <c r="J67" s="170">
        <f>_xlfn.STDEV.S(0.01,0.014,0.012)</f>
        <v>2E-3</v>
      </c>
      <c r="K67" s="144"/>
      <c r="L67" s="144"/>
      <c r="M67" s="175" t="s">
        <v>830</v>
      </c>
      <c r="N67" s="170">
        <f>_xlfn.STDEV.S(0.01,0.01,0.01)</f>
        <v>0</v>
      </c>
      <c r="O67" s="172"/>
      <c r="P67" s="144"/>
      <c r="Q67" s="175" t="s">
        <v>830</v>
      </c>
      <c r="R67" s="170">
        <f>_xlfn.STDEV.S(0.012,0.012,0.015)</f>
        <v>1.7320508075688767E-3</v>
      </c>
      <c r="S67" s="172"/>
      <c r="T67" s="144"/>
      <c r="U67" s="46"/>
      <c r="V67" s="174"/>
      <c r="W67" s="156"/>
      <c r="X67" s="143"/>
      <c r="Y67" s="46"/>
      <c r="Z67" s="174"/>
      <c r="AA67" s="156"/>
      <c r="AB67" s="143"/>
      <c r="AC67" s="46"/>
      <c r="AD67" s="156"/>
      <c r="AE67" s="143"/>
      <c r="AF67" s="143"/>
      <c r="AG67" s="143"/>
      <c r="AH67" s="143"/>
      <c r="AI67" s="143"/>
      <c r="AJ67" s="143"/>
      <c r="AK67" s="143"/>
      <c r="AL67" s="143"/>
      <c r="AM67" s="143"/>
      <c r="AN67" s="144"/>
      <c r="AO67" s="144"/>
      <c r="AP67" s="144"/>
      <c r="AQ67" s="144"/>
      <c r="AR67" s="144"/>
      <c r="AS67" s="144"/>
    </row>
  </sheetData>
  <mergeCells count="17">
    <mergeCell ref="V58:Z58"/>
    <mergeCell ref="V61:Z61"/>
    <mergeCell ref="V60:Z60"/>
    <mergeCell ref="V59:Z59"/>
    <mergeCell ref="E57:F57"/>
    <mergeCell ref="Q57:S57"/>
    <mergeCell ref="V16:Y16"/>
    <mergeCell ref="V17:Y17"/>
    <mergeCell ref="V18:Y18"/>
    <mergeCell ref="E45:F45"/>
    <mergeCell ref="Q45:S45"/>
    <mergeCell ref="F1:H1"/>
    <mergeCell ref="A6:C6"/>
    <mergeCell ref="E20:F20"/>
    <mergeCell ref="Q20:S20"/>
    <mergeCell ref="E33:F33"/>
    <mergeCell ref="Q33:S3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62"/>
  <sheetViews>
    <sheetView zoomScale="60" zoomScaleNormal="60" workbookViewId="0">
      <selection activeCell="E45" sqref="E45:P45"/>
    </sheetView>
  </sheetViews>
  <sheetFormatPr baseColWidth="10" defaultColWidth="9.1640625" defaultRowHeight="15"/>
  <cols>
    <col min="1" max="1" width="9.6640625" style="1" bestFit="1" customWidth="1"/>
    <col min="2" max="2" width="14.83203125" style="1" customWidth="1"/>
    <col min="3" max="3" width="14.6640625" style="1" bestFit="1" customWidth="1"/>
    <col min="4" max="4" width="10.6640625" style="1" customWidth="1"/>
    <col min="5" max="5" width="11.5" style="1" customWidth="1"/>
    <col min="6" max="9" width="9.1640625" style="1"/>
    <col min="10" max="10" width="16.5" style="1" bestFit="1" customWidth="1"/>
    <col min="11" max="14" width="9.1640625" style="1"/>
    <col min="15" max="15" width="16" style="1" bestFit="1" customWidth="1"/>
    <col min="16" max="19" width="9.1640625" style="1"/>
    <col min="20" max="20" width="16" style="1" bestFit="1" customWidth="1"/>
    <col min="21" max="24" width="9.1640625" style="1"/>
    <col min="25" max="25" width="9.83203125" style="1" customWidth="1"/>
    <col min="26" max="29" width="9.1640625" style="1"/>
    <col min="30" max="30" width="13.33203125" style="1" bestFit="1" customWidth="1"/>
    <col min="31" max="34" width="9.1640625" style="1"/>
    <col min="35" max="35" width="16.5" style="1" bestFit="1" customWidth="1"/>
    <col min="36" max="16384" width="9.1640625" style="1"/>
  </cols>
  <sheetData>
    <row r="1" spans="1:22" ht="19">
      <c r="A1" s="36" t="s">
        <v>433</v>
      </c>
      <c r="B1" s="4" t="s">
        <v>1</v>
      </c>
      <c r="C1" s="4"/>
      <c r="E1" s="157" t="s">
        <v>889</v>
      </c>
      <c r="F1" s="182"/>
      <c r="G1" s="182"/>
      <c r="H1" s="182"/>
      <c r="I1" s="182"/>
      <c r="J1" s="182"/>
      <c r="K1" s="182"/>
      <c r="L1" s="144"/>
      <c r="M1" s="144"/>
    </row>
    <row r="2" spans="1:22" ht="21">
      <c r="A2" s="133" t="s">
        <v>762</v>
      </c>
      <c r="B2" s="133"/>
      <c r="C2" s="111">
        <v>45895</v>
      </c>
      <c r="D2" s="96"/>
      <c r="E2" s="157" t="s">
        <v>890</v>
      </c>
      <c r="F2" s="182"/>
      <c r="G2" s="182"/>
      <c r="H2" s="182"/>
      <c r="I2" s="182"/>
      <c r="J2" s="182"/>
      <c r="K2" s="182"/>
      <c r="L2" s="182"/>
      <c r="M2" s="182"/>
    </row>
    <row r="3" spans="1:22" ht="16">
      <c r="A3" s="93"/>
      <c r="E3" s="40"/>
      <c r="J3" s="10"/>
      <c r="K3" s="10"/>
    </row>
    <row r="4" spans="1:22" ht="16">
      <c r="A4" s="93"/>
      <c r="B4" s="4"/>
      <c r="C4" s="4"/>
      <c r="D4" s="96"/>
      <c r="E4" s="40"/>
      <c r="J4" s="10"/>
      <c r="K4" s="10"/>
    </row>
    <row r="5" spans="1:22" ht="16">
      <c r="A5" s="93"/>
      <c r="C5" s="4"/>
      <c r="D5" s="96"/>
      <c r="E5" s="40"/>
      <c r="J5" s="10"/>
      <c r="K5" s="10"/>
    </row>
    <row r="6" spans="1:22">
      <c r="A6" s="97"/>
      <c r="B6" s="98" t="s">
        <v>2</v>
      </c>
      <c r="C6" s="99"/>
      <c r="E6" s="97"/>
      <c r="F6" s="98" t="s">
        <v>2</v>
      </c>
      <c r="G6" s="99"/>
      <c r="H6" s="100"/>
      <c r="J6" s="97"/>
      <c r="K6" s="98" t="s">
        <v>2</v>
      </c>
      <c r="L6" s="99"/>
      <c r="M6" s="100"/>
    </row>
    <row r="7" spans="1:22">
      <c r="A7" s="101" t="s">
        <v>891</v>
      </c>
      <c r="B7" s="62"/>
      <c r="C7" s="62"/>
      <c r="E7" s="101" t="s">
        <v>896</v>
      </c>
      <c r="F7" s="62"/>
      <c r="G7" s="62"/>
      <c r="H7" s="102"/>
      <c r="J7" s="101" t="s">
        <v>900</v>
      </c>
      <c r="K7" s="62"/>
      <c r="L7" s="62"/>
      <c r="M7" s="102"/>
    </row>
    <row r="8" spans="1:22">
      <c r="A8" s="101" t="s">
        <v>892</v>
      </c>
      <c r="B8" s="62"/>
      <c r="C8" s="62"/>
      <c r="E8" s="101" t="s">
        <v>897</v>
      </c>
      <c r="F8" s="62"/>
      <c r="G8" s="62"/>
      <c r="H8" s="102"/>
      <c r="J8" s="101" t="s">
        <v>895</v>
      </c>
      <c r="K8" s="62"/>
      <c r="L8" s="62"/>
      <c r="M8" s="102"/>
    </row>
    <row r="9" spans="1:22">
      <c r="A9" s="101"/>
      <c r="B9" s="62"/>
      <c r="C9" s="62"/>
      <c r="E9" s="101"/>
      <c r="F9" s="62"/>
      <c r="G9" s="62"/>
      <c r="H9" s="102"/>
      <c r="J9" s="101"/>
      <c r="K9" s="62"/>
      <c r="L9" s="62"/>
      <c r="M9" s="102"/>
    </row>
    <row r="10" spans="1:22" ht="16">
      <c r="A10" s="101" t="s">
        <v>894</v>
      </c>
      <c r="B10" s="62"/>
      <c r="C10" s="62"/>
      <c r="E10" s="101" t="s">
        <v>898</v>
      </c>
      <c r="F10" s="62"/>
      <c r="G10" s="62"/>
      <c r="H10" s="102"/>
      <c r="J10" s="101" t="s">
        <v>901</v>
      </c>
      <c r="K10" s="62"/>
      <c r="L10" s="62"/>
      <c r="M10" s="102"/>
      <c r="O10" s="268" t="s">
        <v>425</v>
      </c>
      <c r="P10" s="268"/>
      <c r="Q10" s="268"/>
      <c r="R10" s="268"/>
      <c r="S10" s="268"/>
      <c r="T10" s="180">
        <v>2</v>
      </c>
      <c r="U10" s="180">
        <v>10</v>
      </c>
      <c r="V10" s="180">
        <v>30</v>
      </c>
    </row>
    <row r="11" spans="1:22" ht="16">
      <c r="A11" s="101" t="s">
        <v>439</v>
      </c>
      <c r="B11" s="62"/>
      <c r="C11" s="62"/>
      <c r="E11" s="101" t="s">
        <v>895</v>
      </c>
      <c r="F11" s="62"/>
      <c r="G11" s="62"/>
      <c r="H11" s="102"/>
      <c r="J11" s="101" t="s">
        <v>902</v>
      </c>
      <c r="K11" s="62"/>
      <c r="L11" s="62"/>
      <c r="M11" s="102"/>
      <c r="O11" s="267" t="s">
        <v>888</v>
      </c>
      <c r="P11" s="267"/>
      <c r="Q11" s="267"/>
      <c r="R11" s="267"/>
      <c r="S11" s="267"/>
      <c r="T11" s="135">
        <v>0.8</v>
      </c>
      <c r="U11" s="135">
        <v>0.78</v>
      </c>
      <c r="V11" s="135">
        <v>0.76</v>
      </c>
    </row>
    <row r="12" spans="1:22">
      <c r="A12" s="101"/>
      <c r="B12" s="62"/>
      <c r="C12" s="62"/>
      <c r="E12" s="101"/>
      <c r="F12" s="62"/>
      <c r="G12" s="62"/>
      <c r="H12" s="102"/>
      <c r="J12" s="101"/>
      <c r="K12" s="62"/>
      <c r="L12" s="62"/>
      <c r="M12" s="102"/>
      <c r="O12" s="278" t="s">
        <v>960</v>
      </c>
      <c r="P12" s="278"/>
      <c r="Q12" s="278"/>
      <c r="R12" s="278"/>
      <c r="S12" s="278"/>
      <c r="T12" s="1">
        <v>3.16</v>
      </c>
      <c r="U12" s="1">
        <v>2.4500000000000002</v>
      </c>
      <c r="V12" s="1">
        <v>2.85</v>
      </c>
    </row>
    <row r="13" spans="1:22">
      <c r="A13" s="101" t="s">
        <v>493</v>
      </c>
      <c r="B13" s="62"/>
      <c r="C13" s="62"/>
      <c r="E13" s="101" t="s">
        <v>899</v>
      </c>
      <c r="F13" s="62"/>
      <c r="G13" s="62"/>
      <c r="H13" s="102"/>
      <c r="J13" s="101" t="s">
        <v>903</v>
      </c>
      <c r="K13" s="62"/>
      <c r="L13" s="62"/>
      <c r="M13" s="102"/>
    </row>
    <row r="14" spans="1:22">
      <c r="A14" s="101" t="s">
        <v>895</v>
      </c>
      <c r="B14" s="62"/>
      <c r="C14" s="62"/>
      <c r="E14" s="101" t="s">
        <v>895</v>
      </c>
      <c r="F14" s="62"/>
      <c r="G14" s="62"/>
      <c r="H14" s="102"/>
      <c r="J14" s="101" t="s">
        <v>895</v>
      </c>
      <c r="K14" s="62"/>
      <c r="L14" s="62"/>
      <c r="M14" s="102"/>
    </row>
    <row r="15" spans="1:22">
      <c r="A15" s="101"/>
      <c r="B15" s="62"/>
      <c r="C15" s="62"/>
      <c r="E15" s="101"/>
      <c r="F15" s="62"/>
      <c r="G15" s="62"/>
      <c r="H15" s="102"/>
      <c r="J15" s="101"/>
      <c r="K15" s="62"/>
      <c r="L15" s="62"/>
      <c r="M15" s="102"/>
    </row>
    <row r="16" spans="1:22">
      <c r="A16" s="103" t="s">
        <v>3</v>
      </c>
      <c r="B16" s="104">
        <f>AVERAGE(1.34,1.34,1.33)</f>
        <v>1.3366666666666667</v>
      </c>
      <c r="C16" s="105"/>
      <c r="E16" s="103" t="s">
        <v>3</v>
      </c>
      <c r="F16" s="104">
        <f>AVERAGE(1.34,1.33,1.33)</f>
        <v>1.3333333333333333</v>
      </c>
      <c r="G16" s="105"/>
      <c r="H16" s="106"/>
      <c r="J16" s="103" t="s">
        <v>3</v>
      </c>
      <c r="K16" s="104">
        <f>AVERAGE(1.33,1.33,1.33)</f>
        <v>1.33</v>
      </c>
      <c r="L16" s="105"/>
      <c r="M16" s="106"/>
    </row>
    <row r="17" spans="1:15" ht="21">
      <c r="A17" s="184" t="s">
        <v>596</v>
      </c>
      <c r="B17" s="185">
        <f>_xlfn.STDEV.S(0.008,0.006,0.007)</f>
        <v>1E-3</v>
      </c>
      <c r="C17" s="19"/>
      <c r="D17" s="66"/>
      <c r="E17" s="19"/>
      <c r="F17" s="94"/>
      <c r="G17" s="19"/>
      <c r="H17" s="67" t="s">
        <v>39</v>
      </c>
      <c r="I17" s="66"/>
      <c r="J17" s="87"/>
      <c r="K17" s="19"/>
      <c r="L17" s="183"/>
    </row>
    <row r="18" spans="1:15">
      <c r="A18" s="2"/>
      <c r="B18" s="5" t="s">
        <v>424</v>
      </c>
      <c r="C18" s="2"/>
      <c r="D18" s="51"/>
      <c r="E18" s="2"/>
      <c r="F18" s="5" t="s">
        <v>893</v>
      </c>
      <c r="G18" s="2"/>
      <c r="H18" s="51"/>
      <c r="I18" s="51"/>
      <c r="J18" s="2"/>
      <c r="K18" s="5" t="s">
        <v>581</v>
      </c>
      <c r="L18" s="2"/>
    </row>
    <row r="19" spans="1:15">
      <c r="A19" s="1" t="s">
        <v>263</v>
      </c>
      <c r="D19" s="51"/>
      <c r="E19" s="1" t="s">
        <v>905</v>
      </c>
      <c r="H19" s="51"/>
      <c r="I19" s="51"/>
      <c r="J19" s="1" t="s">
        <v>907</v>
      </c>
    </row>
    <row r="20" spans="1:15">
      <c r="A20" s="1" t="s">
        <v>407</v>
      </c>
      <c r="D20" s="51"/>
      <c r="E20" s="1" t="s">
        <v>413</v>
      </c>
      <c r="H20" s="51"/>
      <c r="I20" s="51"/>
      <c r="J20" s="1" t="s">
        <v>333</v>
      </c>
    </row>
    <row r="21" spans="1:15">
      <c r="D21" s="51"/>
      <c r="H21" s="51"/>
      <c r="I21" s="51"/>
    </row>
    <row r="22" spans="1:15">
      <c r="A22" s="1" t="s">
        <v>93</v>
      </c>
      <c r="D22" s="51"/>
      <c r="E22" s="1" t="s">
        <v>906</v>
      </c>
      <c r="H22" s="51"/>
      <c r="I22" s="51"/>
      <c r="J22" s="1" t="s">
        <v>93</v>
      </c>
    </row>
    <row r="23" spans="1:15">
      <c r="A23" s="1" t="s">
        <v>700</v>
      </c>
      <c r="D23" s="51"/>
      <c r="E23" s="1" t="s">
        <v>338</v>
      </c>
      <c r="H23" s="51"/>
      <c r="I23" s="51"/>
      <c r="J23" s="1" t="s">
        <v>251</v>
      </c>
    </row>
    <row r="24" spans="1:15">
      <c r="D24" s="51"/>
      <c r="H24" s="51"/>
      <c r="I24" s="51"/>
    </row>
    <row r="25" spans="1:15">
      <c r="A25" s="1" t="s">
        <v>904</v>
      </c>
      <c r="D25" s="51"/>
      <c r="E25" s="1" t="s">
        <v>406</v>
      </c>
      <c r="H25" s="51"/>
      <c r="I25" s="51"/>
      <c r="J25" s="1" t="s">
        <v>78</v>
      </c>
    </row>
    <row r="26" spans="1:15">
      <c r="A26" s="1" t="s">
        <v>401</v>
      </c>
      <c r="D26" s="51"/>
      <c r="E26" s="1" t="s">
        <v>338</v>
      </c>
      <c r="H26" s="51"/>
      <c r="I26" s="51"/>
      <c r="J26" s="1" t="s">
        <v>587</v>
      </c>
    </row>
    <row r="27" spans="1:15">
      <c r="D27" s="51"/>
      <c r="H27" s="51"/>
      <c r="I27" s="51"/>
      <c r="L27" s="40"/>
    </row>
    <row r="28" spans="1:15" s="48" customFormat="1">
      <c r="A28" s="115" t="s">
        <v>3</v>
      </c>
      <c r="B28" s="114">
        <f>AVERAGE(0.79,0.8,0.81)</f>
        <v>0.80000000000000016</v>
      </c>
      <c r="D28" s="116"/>
      <c r="E28" s="115" t="s">
        <v>3</v>
      </c>
      <c r="F28" s="114">
        <f>AVERAGE(0.79,0.78,0.78)</f>
        <v>0.78333333333333333</v>
      </c>
      <c r="H28" s="116"/>
      <c r="I28" s="116"/>
      <c r="J28" s="115" t="s">
        <v>3</v>
      </c>
      <c r="K28" s="114">
        <f>AVERAGE(0.74,0.76,0.77)</f>
        <v>0.75666666666666671</v>
      </c>
      <c r="L28" s="47"/>
    </row>
    <row r="29" spans="1:15" s="47" customFormat="1">
      <c r="A29" s="47" t="s">
        <v>596</v>
      </c>
      <c r="B29" s="126">
        <f>_xlfn.STDEV.S(0.007,0.007,0.007)</f>
        <v>0</v>
      </c>
      <c r="E29" s="47" t="s">
        <v>596</v>
      </c>
      <c r="F29" s="129">
        <f>_xlfn.STDEV.S(0.008,0.007,0.007)</f>
        <v>5.773502691896258E-4</v>
      </c>
      <c r="J29" s="47" t="s">
        <v>596</v>
      </c>
      <c r="K29" s="129">
        <f>_xlfn.STDEV.S(0.008,0.007,0.008)</f>
        <v>5.773502691896258E-4</v>
      </c>
    </row>
    <row r="30" spans="1:15" s="171" customFormat="1">
      <c r="B30" s="188"/>
      <c r="F30" s="189"/>
      <c r="K30" s="189"/>
    </row>
    <row r="31" spans="1:15" s="171" customFormat="1">
      <c r="B31" s="188"/>
      <c r="F31" s="189"/>
      <c r="K31" s="189"/>
    </row>
    <row r="32" spans="1:15" s="16" customFormat="1" ht="21">
      <c r="A32" s="16" t="s">
        <v>940</v>
      </c>
      <c r="F32" s="186"/>
      <c r="G32" s="125" t="s">
        <v>939</v>
      </c>
      <c r="J32" s="187"/>
      <c r="O32" s="187"/>
    </row>
    <row r="33" spans="1:16">
      <c r="E33" s="2"/>
      <c r="F33" s="5" t="s">
        <v>424</v>
      </c>
      <c r="G33" s="2"/>
      <c r="H33" s="51"/>
      <c r="I33" s="2"/>
      <c r="J33" s="5" t="s">
        <v>893</v>
      </c>
      <c r="K33" s="2"/>
      <c r="L33" s="51"/>
      <c r="M33" s="51"/>
      <c r="N33" s="2"/>
      <c r="O33" s="5" t="s">
        <v>581</v>
      </c>
      <c r="P33" s="2"/>
    </row>
    <row r="34" spans="1:16">
      <c r="A34" s="1" t="s">
        <v>941</v>
      </c>
      <c r="E34" s="1" t="s">
        <v>944</v>
      </c>
      <c r="H34" s="51"/>
      <c r="I34" s="1" t="s">
        <v>950</v>
      </c>
      <c r="L34" s="51"/>
      <c r="M34" s="51"/>
      <c r="N34" s="1" t="s">
        <v>277</v>
      </c>
    </row>
    <row r="35" spans="1:16">
      <c r="A35" s="1" t="s">
        <v>313</v>
      </c>
      <c r="E35" s="1" t="s">
        <v>945</v>
      </c>
      <c r="H35" s="51"/>
      <c r="I35" s="1" t="s">
        <v>951</v>
      </c>
      <c r="L35" s="51"/>
      <c r="M35" s="51"/>
      <c r="N35" s="1" t="s">
        <v>955</v>
      </c>
    </row>
    <row r="36" spans="1:16">
      <c r="H36" s="51"/>
      <c r="L36" s="51"/>
      <c r="M36" s="51"/>
    </row>
    <row r="37" spans="1:16">
      <c r="A37" s="1" t="s">
        <v>709</v>
      </c>
      <c r="E37" s="1" t="s">
        <v>946</v>
      </c>
      <c r="H37" s="51"/>
      <c r="I37" s="1" t="s">
        <v>952</v>
      </c>
      <c r="L37" s="51"/>
      <c r="M37" s="51"/>
      <c r="N37" s="1" t="s">
        <v>956</v>
      </c>
    </row>
    <row r="38" spans="1:16">
      <c r="A38" s="1" t="s">
        <v>313</v>
      </c>
      <c r="E38" s="1" t="s">
        <v>947</v>
      </c>
      <c r="H38" s="51"/>
      <c r="I38" s="1" t="s">
        <v>953</v>
      </c>
      <c r="L38" s="51"/>
      <c r="M38" s="51"/>
      <c r="N38" s="1" t="s">
        <v>957</v>
      </c>
    </row>
    <row r="39" spans="1:16">
      <c r="H39" s="51"/>
      <c r="L39" s="51"/>
      <c r="M39" s="51"/>
    </row>
    <row r="40" spans="1:16">
      <c r="A40" s="1" t="s">
        <v>942</v>
      </c>
      <c r="E40" s="1" t="s">
        <v>948</v>
      </c>
      <c r="H40" s="51"/>
      <c r="I40" s="1" t="s">
        <v>207</v>
      </c>
      <c r="L40" s="51"/>
      <c r="M40" s="51"/>
      <c r="N40" s="1" t="s">
        <v>958</v>
      </c>
    </row>
    <row r="41" spans="1:16">
      <c r="A41" s="1" t="s">
        <v>694</v>
      </c>
      <c r="E41" s="1" t="s">
        <v>949</v>
      </c>
      <c r="H41" s="51"/>
      <c r="I41" s="1" t="s">
        <v>954</v>
      </c>
      <c r="L41" s="51"/>
      <c r="M41" s="51"/>
      <c r="N41" s="1" t="s">
        <v>959</v>
      </c>
    </row>
    <row r="42" spans="1:16">
      <c r="H42" s="51"/>
      <c r="L42" s="51"/>
      <c r="M42" s="51"/>
      <c r="P42" s="40"/>
    </row>
    <row r="43" spans="1:16" s="48" customFormat="1">
      <c r="A43" s="48" t="s">
        <v>943</v>
      </c>
      <c r="B43" s="48">
        <f>AVERAGE(1.46,1.46,1.47)</f>
        <v>1.4633333333333332</v>
      </c>
      <c r="E43" s="115" t="s">
        <v>3</v>
      </c>
      <c r="F43" s="114">
        <f>AVERAGE(3.16,2.96,3.36)</f>
        <v>3.16</v>
      </c>
      <c r="H43" s="116"/>
      <c r="I43" s="115" t="s">
        <v>3</v>
      </c>
      <c r="J43" s="114">
        <f>AVERAGE(2.34,2.55,2.47)</f>
        <v>2.4533333333333331</v>
      </c>
      <c r="L43" s="116"/>
      <c r="M43" s="116"/>
      <c r="N43" s="115" t="s">
        <v>3</v>
      </c>
      <c r="O43" s="114">
        <f>AVERAGE(2.85,2.79,2.92)</f>
        <v>2.8533333333333335</v>
      </c>
      <c r="P43" s="47"/>
    </row>
    <row r="44" spans="1:16" s="47" customFormat="1">
      <c r="E44" s="47" t="s">
        <v>596</v>
      </c>
      <c r="F44" s="126">
        <f>_xlfn.STDEV.S(0.007,0.007,0.007)</f>
        <v>0</v>
      </c>
      <c r="I44" s="47" t="s">
        <v>596</v>
      </c>
      <c r="J44" s="129">
        <f>_xlfn.STDEV.S(0.008,0.007,0.007)</f>
        <v>5.773502691896258E-4</v>
      </c>
      <c r="N44" s="47" t="s">
        <v>596</v>
      </c>
      <c r="O44" s="129">
        <f>_xlfn.STDEV.S(0.008,0.007,0.008)</f>
        <v>5.773502691896258E-4</v>
      </c>
    </row>
    <row r="45" spans="1:16" ht="24">
      <c r="E45" s="279" t="s">
        <v>423</v>
      </c>
      <c r="F45" s="279"/>
      <c r="G45" s="279"/>
      <c r="H45" s="279"/>
      <c r="I45" s="279"/>
      <c r="J45" s="279"/>
      <c r="K45" s="279"/>
      <c r="L45" s="279"/>
      <c r="M45" s="279"/>
      <c r="N45" s="279"/>
      <c r="O45" s="279"/>
      <c r="P45" s="279"/>
    </row>
    <row r="46" spans="1:16">
      <c r="F46" s="1">
        <v>2.48</v>
      </c>
      <c r="J46" s="1">
        <v>2.06</v>
      </c>
      <c r="O46" s="1">
        <v>2.44</v>
      </c>
    </row>
    <row r="49" spans="3:13">
      <c r="C49" s="1">
        <v>1.33</v>
      </c>
      <c r="E49" s="2"/>
      <c r="F49" s="5" t="s">
        <v>169</v>
      </c>
      <c r="G49" s="2"/>
      <c r="H49" s="51"/>
      <c r="I49" s="2"/>
      <c r="J49" s="5" t="s">
        <v>360</v>
      </c>
      <c r="K49" s="2"/>
    </row>
    <row r="50" spans="3:13">
      <c r="H50" s="51"/>
      <c r="M50" s="1">
        <v>1.35</v>
      </c>
    </row>
    <row r="51" spans="3:13">
      <c r="H51" s="51"/>
    </row>
    <row r="52" spans="3:13">
      <c r="H52" s="51"/>
    </row>
    <row r="53" spans="3:13">
      <c r="H53" s="51"/>
    </row>
    <row r="54" spans="3:13">
      <c r="H54" s="51"/>
    </row>
    <row r="55" spans="3:13">
      <c r="H55" s="51"/>
    </row>
    <row r="56" spans="3:13">
      <c r="H56" s="51"/>
    </row>
    <row r="57" spans="3:13">
      <c r="H57" s="51"/>
    </row>
    <row r="58" spans="3:13">
      <c r="H58" s="51"/>
    </row>
    <row r="59" spans="3:13">
      <c r="E59" s="115" t="s">
        <v>3</v>
      </c>
      <c r="F59" s="114">
        <f>AVERAGE(3.16,2.96,3.36)</f>
        <v>3.16</v>
      </c>
      <c r="G59" s="48"/>
      <c r="H59" s="116"/>
      <c r="I59" s="115" t="s">
        <v>3</v>
      </c>
      <c r="J59" s="114">
        <f>AVERAGE(2.34,2.55,2.47)</f>
        <v>2.4533333333333331</v>
      </c>
      <c r="K59" s="48"/>
    </row>
    <row r="60" spans="3:13">
      <c r="E60" s="47" t="s">
        <v>596</v>
      </c>
      <c r="F60" s="126">
        <f>_xlfn.STDEV.S(0.007,0.007,0.007)</f>
        <v>0</v>
      </c>
      <c r="G60" s="47"/>
      <c r="H60" s="47"/>
      <c r="I60" s="47" t="s">
        <v>596</v>
      </c>
      <c r="J60" s="129">
        <f>_xlfn.STDEV.S(0.008,0.007,0.007)</f>
        <v>5.773502691896258E-4</v>
      </c>
      <c r="K60" s="47"/>
    </row>
    <row r="62" spans="3:13">
      <c r="J62" s="1" t="s">
        <v>887</v>
      </c>
    </row>
  </sheetData>
  <mergeCells count="4">
    <mergeCell ref="O10:S10"/>
    <mergeCell ref="O11:S11"/>
    <mergeCell ref="O12:S12"/>
    <mergeCell ref="E45:P4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69"/>
  <sheetViews>
    <sheetView zoomScale="70" zoomScaleNormal="70" workbookViewId="0">
      <selection activeCell="Q35" sqref="Q35"/>
    </sheetView>
  </sheetViews>
  <sheetFormatPr baseColWidth="10" defaultColWidth="9.1640625" defaultRowHeight="15"/>
  <cols>
    <col min="1" max="1" width="13.6640625" style="1" customWidth="1"/>
    <col min="2" max="2" width="11.5" style="1" customWidth="1"/>
    <col min="3" max="4" width="9.1640625" style="1"/>
    <col min="5" max="5" width="16.5" style="1" bestFit="1" customWidth="1"/>
    <col min="6" max="7" width="9.1640625" style="1"/>
    <col min="8" max="8" width="16" style="1" bestFit="1" customWidth="1"/>
    <col min="9" max="10" width="9.1640625" style="1"/>
    <col min="11" max="11" width="16" style="1" bestFit="1" customWidth="1"/>
    <col min="12" max="13" width="9.1640625" style="1"/>
    <col min="14" max="14" width="9.83203125" style="1" customWidth="1"/>
    <col min="15" max="16" width="9.1640625" style="1"/>
    <col min="17" max="17" width="13.33203125" style="1" bestFit="1" customWidth="1"/>
    <col min="18" max="19" width="9.1640625" style="1"/>
    <col min="20" max="20" width="16.5" style="1" bestFit="1" customWidth="1"/>
    <col min="21" max="16384" width="9.1640625" style="1"/>
  </cols>
  <sheetData>
    <row r="1" spans="1:22" ht="16">
      <c r="A1" s="36" t="s">
        <v>433</v>
      </c>
      <c r="B1" s="4" t="s">
        <v>1</v>
      </c>
      <c r="C1" s="4"/>
      <c r="D1" s="48"/>
      <c r="E1" s="47" t="s">
        <v>961</v>
      </c>
      <c r="F1" s="47"/>
      <c r="G1" s="47"/>
      <c r="H1" s="47"/>
    </row>
    <row r="2" spans="1:22" ht="21">
      <c r="A2" s="111">
        <v>45916</v>
      </c>
      <c r="C2" s="10"/>
      <c r="D2" s="133" t="s">
        <v>762</v>
      </c>
      <c r="E2" s="133"/>
      <c r="F2" s="10"/>
    </row>
    <row r="3" spans="1:22">
      <c r="A3" s="96"/>
      <c r="B3" s="40"/>
      <c r="E3" s="10"/>
      <c r="F3" s="10"/>
    </row>
    <row r="4" spans="1:22">
      <c r="A4" s="96"/>
      <c r="B4" s="40"/>
      <c r="E4" s="10"/>
      <c r="F4" s="10"/>
    </row>
    <row r="5" spans="1:22">
      <c r="A5" s="96"/>
      <c r="B5" s="40"/>
      <c r="E5" s="10"/>
      <c r="F5" s="10"/>
    </row>
    <row r="6" spans="1:22">
      <c r="A6" s="97"/>
      <c r="B6" s="98" t="s">
        <v>2</v>
      </c>
      <c r="C6" s="99"/>
      <c r="D6" s="97"/>
      <c r="E6" s="98" t="s">
        <v>2</v>
      </c>
      <c r="F6" s="99"/>
      <c r="G6" s="97"/>
      <c r="H6" s="98" t="s">
        <v>2</v>
      </c>
      <c r="I6" s="99"/>
      <c r="J6" s="97"/>
      <c r="K6" s="98" t="s">
        <v>2</v>
      </c>
      <c r="L6" s="99"/>
      <c r="M6" s="97"/>
      <c r="N6" s="98" t="s">
        <v>2</v>
      </c>
      <c r="O6" s="99"/>
      <c r="P6" s="97"/>
      <c r="Q6" s="98" t="s">
        <v>2</v>
      </c>
      <c r="R6" s="99"/>
      <c r="S6" s="97"/>
      <c r="T6" s="98" t="s">
        <v>2</v>
      </c>
      <c r="U6" s="99"/>
      <c r="V6" s="100"/>
    </row>
    <row r="7" spans="1:22">
      <c r="A7" s="101"/>
      <c r="B7" s="62"/>
      <c r="C7" s="62"/>
      <c r="D7" s="101" t="s">
        <v>962</v>
      </c>
      <c r="E7" s="62"/>
      <c r="F7" s="62"/>
      <c r="G7" s="101" t="s">
        <v>967</v>
      </c>
      <c r="H7" s="62"/>
      <c r="I7" s="62"/>
      <c r="J7" s="101" t="s">
        <v>204</v>
      </c>
      <c r="K7" s="62"/>
      <c r="L7" s="62"/>
      <c r="M7" s="101" t="s">
        <v>970</v>
      </c>
      <c r="N7" s="62"/>
      <c r="O7" s="62"/>
      <c r="P7" s="101" t="s">
        <v>973</v>
      </c>
      <c r="Q7" s="62"/>
      <c r="R7" s="62"/>
      <c r="S7" s="101" t="s">
        <v>414</v>
      </c>
      <c r="T7" s="62"/>
      <c r="U7" s="62"/>
      <c r="V7" s="102"/>
    </row>
    <row r="8" spans="1:22">
      <c r="A8" s="101"/>
      <c r="B8" s="62"/>
      <c r="C8" s="62"/>
      <c r="D8" s="101" t="s">
        <v>963</v>
      </c>
      <c r="E8" s="62"/>
      <c r="F8" s="62"/>
      <c r="G8" s="101" t="s">
        <v>965</v>
      </c>
      <c r="H8" s="62"/>
      <c r="I8" s="62"/>
      <c r="J8" s="101" t="s">
        <v>968</v>
      </c>
      <c r="K8" s="62"/>
      <c r="L8" s="62"/>
      <c r="M8" s="101" t="s">
        <v>971</v>
      </c>
      <c r="N8" s="62"/>
      <c r="O8" s="62"/>
      <c r="P8" s="101" t="s">
        <v>9</v>
      </c>
      <c r="Q8" s="62"/>
      <c r="R8" s="62"/>
      <c r="S8" s="101" t="s">
        <v>311</v>
      </c>
      <c r="T8" s="62"/>
      <c r="U8" s="62"/>
      <c r="V8" s="102"/>
    </row>
    <row r="9" spans="1:22">
      <c r="A9" s="101"/>
      <c r="B9" s="62"/>
      <c r="C9" s="62"/>
      <c r="D9" s="101"/>
      <c r="E9" s="62"/>
      <c r="F9" s="62"/>
      <c r="G9" s="101"/>
      <c r="H9" s="62"/>
      <c r="I9" s="62"/>
      <c r="J9" s="101"/>
      <c r="K9" s="62"/>
      <c r="L9" s="62"/>
      <c r="M9" s="101"/>
      <c r="N9" s="62"/>
      <c r="O9" s="62"/>
      <c r="P9" s="101"/>
      <c r="Q9" s="62"/>
      <c r="R9" s="62"/>
      <c r="S9" s="101"/>
      <c r="T9" s="62"/>
      <c r="U9" s="62"/>
      <c r="V9" s="102"/>
    </row>
    <row r="10" spans="1:22">
      <c r="A10" s="101"/>
      <c r="B10" s="62"/>
      <c r="C10" s="62"/>
      <c r="D10" s="101" t="s">
        <v>964</v>
      </c>
      <c r="E10" s="62"/>
      <c r="F10" s="62"/>
      <c r="G10" s="101"/>
      <c r="H10" s="62"/>
      <c r="I10" s="62"/>
      <c r="J10" s="101" t="s">
        <v>969</v>
      </c>
      <c r="K10" s="62"/>
      <c r="L10" s="62"/>
      <c r="M10" s="101" t="s">
        <v>23</v>
      </c>
      <c r="N10" s="62"/>
      <c r="O10" s="62"/>
      <c r="P10" s="101" t="s">
        <v>871</v>
      </c>
      <c r="Q10" s="62"/>
      <c r="R10" s="62"/>
      <c r="S10" s="101" t="s">
        <v>977</v>
      </c>
      <c r="T10" s="62"/>
      <c r="U10" s="62"/>
      <c r="V10" s="102"/>
    </row>
    <row r="11" spans="1:22">
      <c r="A11" s="101"/>
      <c r="B11" s="62"/>
      <c r="C11" s="62"/>
      <c r="D11" s="101" t="s">
        <v>965</v>
      </c>
      <c r="E11" s="62"/>
      <c r="F11" s="62"/>
      <c r="G11" s="101"/>
      <c r="H11" s="62"/>
      <c r="I11" s="62"/>
      <c r="J11" s="101" t="s">
        <v>694</v>
      </c>
      <c r="K11" s="62"/>
      <c r="L11" s="62"/>
      <c r="M11" s="101" t="s">
        <v>972</v>
      </c>
      <c r="N11" s="62"/>
      <c r="O11" s="62"/>
      <c r="P11" s="101" t="s">
        <v>974</v>
      </c>
      <c r="Q11" s="62"/>
      <c r="R11" s="62"/>
      <c r="S11" s="101" t="s">
        <v>976</v>
      </c>
      <c r="T11" s="62"/>
      <c r="U11" s="62"/>
      <c r="V11" s="102"/>
    </row>
    <row r="12" spans="1:22">
      <c r="A12" s="101"/>
      <c r="B12" s="62"/>
      <c r="C12" s="62"/>
      <c r="D12" s="101"/>
      <c r="E12" s="62"/>
      <c r="F12" s="62"/>
      <c r="G12" s="101"/>
      <c r="H12" s="62"/>
      <c r="I12" s="62"/>
      <c r="J12" s="101"/>
      <c r="K12" s="62"/>
      <c r="L12" s="62"/>
      <c r="M12" s="101"/>
      <c r="N12" s="62"/>
      <c r="O12" s="62"/>
      <c r="P12" s="101"/>
      <c r="Q12" s="62"/>
      <c r="R12" s="62"/>
      <c r="S12" s="101"/>
      <c r="T12" s="62"/>
      <c r="U12" s="62"/>
      <c r="V12" s="102"/>
    </row>
    <row r="13" spans="1:22">
      <c r="A13" s="101"/>
      <c r="B13" s="62"/>
      <c r="C13" s="62"/>
      <c r="D13" s="101" t="s">
        <v>966</v>
      </c>
      <c r="E13" s="62"/>
      <c r="F13" s="62"/>
      <c r="G13" s="101"/>
      <c r="H13" s="62"/>
      <c r="I13" s="62"/>
      <c r="J13" s="101"/>
      <c r="K13" s="62"/>
      <c r="L13" s="62"/>
      <c r="M13" s="101" t="s">
        <v>874</v>
      </c>
      <c r="N13" s="62"/>
      <c r="O13" s="62"/>
      <c r="P13" s="101" t="s">
        <v>975</v>
      </c>
      <c r="Q13" s="62"/>
      <c r="R13" s="62"/>
      <c r="S13" s="101" t="s">
        <v>978</v>
      </c>
      <c r="T13" s="62"/>
      <c r="U13" s="62"/>
      <c r="V13" s="102"/>
    </row>
    <row r="14" spans="1:22">
      <c r="A14" s="101"/>
      <c r="B14" s="62"/>
      <c r="C14" s="62"/>
      <c r="D14" s="101" t="s">
        <v>965</v>
      </c>
      <c r="E14" s="62"/>
      <c r="F14" s="62"/>
      <c r="G14" s="101"/>
      <c r="H14" s="62"/>
      <c r="I14" s="62"/>
      <c r="J14" s="101"/>
      <c r="K14" s="62"/>
      <c r="L14" s="62"/>
      <c r="M14" s="101" t="s">
        <v>971</v>
      </c>
      <c r="N14" s="62"/>
      <c r="O14" s="62"/>
      <c r="P14" s="101" t="s">
        <v>976</v>
      </c>
      <c r="Q14" s="62"/>
      <c r="R14" s="62"/>
      <c r="S14" s="101" t="s">
        <v>976</v>
      </c>
      <c r="T14" s="62"/>
      <c r="U14" s="62"/>
      <c r="V14" s="102"/>
    </row>
    <row r="15" spans="1:22">
      <c r="A15" s="101"/>
      <c r="B15" s="62"/>
      <c r="C15" s="62"/>
      <c r="D15" s="101"/>
      <c r="E15" s="62"/>
      <c r="F15" s="62"/>
      <c r="G15" s="101"/>
      <c r="H15" s="62"/>
      <c r="I15" s="62"/>
      <c r="J15" s="101"/>
      <c r="K15" s="62"/>
      <c r="L15" s="62"/>
      <c r="M15" s="101"/>
      <c r="N15" s="62"/>
      <c r="O15" s="62"/>
      <c r="P15" s="101"/>
      <c r="Q15" s="62"/>
      <c r="R15" s="62"/>
      <c r="S15" s="101"/>
      <c r="T15" s="62"/>
      <c r="U15" s="62"/>
      <c r="V15" s="102"/>
    </row>
    <row r="16" spans="1:22">
      <c r="A16" s="103" t="s">
        <v>3</v>
      </c>
      <c r="B16" s="104"/>
      <c r="C16" s="105"/>
      <c r="D16" s="103" t="s">
        <v>3</v>
      </c>
      <c r="E16" s="104">
        <f>AVERAGE(1.45,1.46,1.46)</f>
        <v>1.4566666666666668</v>
      </c>
      <c r="F16" s="105"/>
      <c r="G16" s="103" t="s">
        <v>3</v>
      </c>
      <c r="H16" s="104">
        <v>1.46</v>
      </c>
      <c r="I16" s="105"/>
      <c r="J16" s="103" t="s">
        <v>3</v>
      </c>
      <c r="K16" s="104">
        <v>1.47</v>
      </c>
      <c r="L16" s="105"/>
      <c r="M16" s="103" t="s">
        <v>3</v>
      </c>
      <c r="N16" s="104">
        <f>AVERAGE(1.49,1.48,1.49)</f>
        <v>1.4866666666666666</v>
      </c>
      <c r="O16" s="105"/>
      <c r="P16" s="103" t="s">
        <v>3</v>
      </c>
      <c r="Q16" s="104">
        <f>AVERAGE(1.43,1.44,1.45)</f>
        <v>1.4400000000000002</v>
      </c>
      <c r="R16" s="105"/>
      <c r="S16" s="103" t="s">
        <v>3</v>
      </c>
      <c r="T16" s="104">
        <f>AVERAGE(1.45,1.45,1.45)</f>
        <v>1.45</v>
      </c>
      <c r="U16" s="105"/>
      <c r="V16" s="106"/>
    </row>
    <row r="17" spans="1:21" ht="21">
      <c r="A17" s="19"/>
      <c r="B17" s="94"/>
      <c r="C17" s="19"/>
      <c r="D17" s="87"/>
      <c r="E17" s="19"/>
      <c r="F17" s="67"/>
      <c r="G17" s="19"/>
      <c r="H17" s="111">
        <v>45916</v>
      </c>
      <c r="I17" s="19"/>
      <c r="J17" s="19"/>
      <c r="K17" s="94"/>
      <c r="L17" s="19"/>
      <c r="M17" s="87"/>
      <c r="N17" s="19"/>
      <c r="O17" s="88"/>
      <c r="P17" s="87"/>
      <c r="Q17" s="19"/>
      <c r="R17" s="88"/>
      <c r="S17" s="87"/>
      <c r="T17" s="19"/>
      <c r="U17" s="88"/>
    </row>
    <row r="18" spans="1:21">
      <c r="A18" s="2"/>
      <c r="B18" s="5" t="s">
        <v>221</v>
      </c>
      <c r="C18" s="2"/>
      <c r="D18" s="2"/>
      <c r="E18" s="5" t="s">
        <v>361</v>
      </c>
      <c r="F18" s="2"/>
      <c r="G18" s="2"/>
      <c r="H18" s="5" t="s">
        <v>473</v>
      </c>
      <c r="I18" s="2"/>
      <c r="J18" s="2"/>
      <c r="K18" s="5" t="s">
        <v>475</v>
      </c>
      <c r="L18" s="2"/>
      <c r="M18" s="2"/>
      <c r="N18" s="5" t="s">
        <v>581</v>
      </c>
      <c r="O18" s="2"/>
      <c r="P18" s="2"/>
      <c r="Q18" s="5" t="s">
        <v>590</v>
      </c>
      <c r="R18" s="2"/>
      <c r="S18" s="2"/>
      <c r="T18" s="5" t="s">
        <v>591</v>
      </c>
      <c r="U18" s="2"/>
    </row>
    <row r="19" spans="1:21">
      <c r="D19" s="1" t="s">
        <v>979</v>
      </c>
      <c r="G19" s="1" t="s">
        <v>982</v>
      </c>
      <c r="J19" s="1" t="s">
        <v>987</v>
      </c>
    </row>
    <row r="20" spans="1:21">
      <c r="D20" s="1" t="s">
        <v>333</v>
      </c>
      <c r="G20" s="1" t="s">
        <v>983</v>
      </c>
      <c r="J20" s="1" t="s">
        <v>988</v>
      </c>
    </row>
    <row r="22" spans="1:21">
      <c r="D22" s="1" t="s">
        <v>356</v>
      </c>
      <c r="G22" s="1" t="s">
        <v>984</v>
      </c>
      <c r="J22" s="1" t="s">
        <v>989</v>
      </c>
    </row>
    <row r="23" spans="1:21">
      <c r="D23" s="1" t="s">
        <v>980</v>
      </c>
      <c r="G23" s="1" t="s">
        <v>985</v>
      </c>
      <c r="J23" s="1" t="s">
        <v>990</v>
      </c>
    </row>
    <row r="25" spans="1:21">
      <c r="D25" s="1" t="s">
        <v>981</v>
      </c>
      <c r="G25" s="1" t="s">
        <v>986</v>
      </c>
      <c r="J25" s="1" t="s">
        <v>991</v>
      </c>
    </row>
    <row r="26" spans="1:21">
      <c r="D26" s="1" t="s">
        <v>333</v>
      </c>
      <c r="G26" s="1" t="s">
        <v>589</v>
      </c>
      <c r="J26" s="1" t="s">
        <v>992</v>
      </c>
    </row>
    <row r="28" spans="1:21" s="48" customFormat="1">
      <c r="A28" s="115" t="s">
        <v>3</v>
      </c>
      <c r="B28" s="114">
        <f>AVERAGE(0.87,0.89,0.886)</f>
        <v>0.88200000000000001</v>
      </c>
      <c r="D28" s="115" t="s">
        <v>3</v>
      </c>
      <c r="E28" s="114">
        <f>AVERAGE(0.68,0.69,0.7)</f>
        <v>0.69000000000000006</v>
      </c>
      <c r="G28" s="115" t="s">
        <v>3</v>
      </c>
      <c r="H28" s="114">
        <f>AVERAGE(0.64,0.64,0.65)</f>
        <v>0.64333333333333342</v>
      </c>
      <c r="J28" s="115" t="s">
        <v>3</v>
      </c>
      <c r="K28" s="114">
        <f>AVERAGE(0.51,0.51,0.53)</f>
        <v>0.51666666666666672</v>
      </c>
      <c r="M28" s="115" t="s">
        <v>3</v>
      </c>
      <c r="N28" s="114">
        <f>AVERAGE(0.54,0.54,0.54)</f>
        <v>0.54</v>
      </c>
      <c r="P28" s="115" t="s">
        <v>3</v>
      </c>
      <c r="Q28" s="114">
        <f>AVERAGE(0.55,0.55,0.55)</f>
        <v>0.55000000000000004</v>
      </c>
      <c r="S28" s="115" t="s">
        <v>3</v>
      </c>
      <c r="T28" s="114">
        <f>AVERAGE(0.5,0.5,0.49)</f>
        <v>0.49666666666666665</v>
      </c>
    </row>
    <row r="29" spans="1:21" s="47" customFormat="1">
      <c r="A29" s="47" t="s">
        <v>596</v>
      </c>
      <c r="B29" s="126">
        <f>_xlfn.STDEV.S(0.005,0.005,0.006)</f>
        <v>5.773502691896258E-4</v>
      </c>
      <c r="D29" s="47" t="s">
        <v>596</v>
      </c>
      <c r="E29" s="128">
        <f>_xlfn.STDEV.S(0.006,0.006,0.006)</f>
        <v>1.0622968402425924E-18</v>
      </c>
      <c r="G29" s="47" t="s">
        <v>596</v>
      </c>
      <c r="H29" s="126">
        <f>_xlfn.STDEV.S(0.006,0.008,0.008)</f>
        <v>1.1547005383792516E-3</v>
      </c>
      <c r="J29" s="47" t="s">
        <v>596</v>
      </c>
      <c r="K29" s="129">
        <f>_xlfn.STDEV.S(0.006,0.006,0.007)</f>
        <v>5.773502691896258E-4</v>
      </c>
      <c r="M29" s="47" t="s">
        <v>596</v>
      </c>
      <c r="N29" s="129">
        <f>_xlfn.STDEV.S(0.006,0.007,0.006)</f>
        <v>5.773502691896258E-4</v>
      </c>
      <c r="P29" s="47" t="s">
        <v>596</v>
      </c>
      <c r="Q29" s="129">
        <f>_xlfn.STDEV.S(0.006,0.006,0.008)</f>
        <v>1.1547005383792516E-3</v>
      </c>
      <c r="S29" s="47" t="s">
        <v>596</v>
      </c>
      <c r="T29" s="129">
        <f>_xlfn.STDEV.S(0.006,0.006,0.006)</f>
        <v>1.0622968402425924E-18</v>
      </c>
    </row>
    <row r="30" spans="1:21" s="10" customFormat="1" ht="21">
      <c r="D30" s="196"/>
      <c r="H30" s="197"/>
    </row>
    <row r="31" spans="1:21" s="10" customFormat="1">
      <c r="B31" s="40"/>
      <c r="E31" s="40"/>
      <c r="H31" s="40"/>
      <c r="K31" s="40"/>
      <c r="N31" s="40"/>
      <c r="Q31" s="40"/>
      <c r="T31" s="40"/>
    </row>
    <row r="32" spans="1:21" s="10" customFormat="1"/>
    <row r="33" spans="1:20" s="10" customFormat="1"/>
    <row r="34" spans="1:20" s="10" customFormat="1" ht="16">
      <c r="G34" s="268" t="s">
        <v>425</v>
      </c>
      <c r="H34" s="268"/>
      <c r="I34" s="268"/>
      <c r="J34" s="268"/>
      <c r="K34" s="190">
        <v>2</v>
      </c>
      <c r="L34" s="190">
        <v>7</v>
      </c>
      <c r="M34" s="190">
        <v>30</v>
      </c>
      <c r="N34" s="190">
        <v>40</v>
      </c>
    </row>
    <row r="35" spans="1:20" s="10" customFormat="1" ht="16">
      <c r="G35" s="267" t="s">
        <v>776</v>
      </c>
      <c r="H35" s="267"/>
      <c r="I35" s="267"/>
      <c r="J35" s="267"/>
      <c r="K35" s="135">
        <v>0.88</v>
      </c>
      <c r="L35" s="135">
        <v>0.69</v>
      </c>
      <c r="M35" s="135">
        <v>0.54</v>
      </c>
      <c r="N35" s="135">
        <v>0.55000000000000004</v>
      </c>
    </row>
    <row r="36" spans="1:20" s="10" customFormat="1" ht="16">
      <c r="G36" s="267" t="s">
        <v>777</v>
      </c>
      <c r="H36" s="267"/>
      <c r="I36" s="267"/>
      <c r="J36" s="267"/>
      <c r="K36" s="135">
        <v>0.94</v>
      </c>
      <c r="L36" s="135">
        <v>0.72</v>
      </c>
      <c r="M36" s="135">
        <v>0.6</v>
      </c>
      <c r="N36" s="135">
        <v>0.57999999999999996</v>
      </c>
    </row>
    <row r="37" spans="1:20" s="10" customFormat="1" ht="16">
      <c r="G37" s="267" t="s">
        <v>778</v>
      </c>
      <c r="H37" s="267"/>
      <c r="I37" s="267"/>
      <c r="J37" s="267"/>
      <c r="K37" s="135">
        <v>1.24</v>
      </c>
      <c r="L37" s="135">
        <v>1.06</v>
      </c>
      <c r="M37" s="135">
        <v>0.97</v>
      </c>
      <c r="N37" s="135">
        <v>0.87</v>
      </c>
    </row>
    <row r="38" spans="1:20" s="10" customFormat="1" ht="16">
      <c r="G38" s="267" t="s">
        <v>775</v>
      </c>
      <c r="H38" s="267"/>
      <c r="I38" s="267"/>
      <c r="J38" s="267"/>
      <c r="K38" s="135">
        <v>0.66</v>
      </c>
      <c r="L38" s="135">
        <v>0.59</v>
      </c>
      <c r="M38" s="135">
        <v>0.5</v>
      </c>
      <c r="N38" s="135">
        <v>0.48</v>
      </c>
    </row>
    <row r="39" spans="1:20" s="10" customFormat="1"/>
    <row r="40" spans="1:20" s="10" customFormat="1"/>
    <row r="41" spans="1:20" s="40" customFormat="1">
      <c r="A41" s="198"/>
      <c r="B41" s="12"/>
      <c r="D41" s="198"/>
      <c r="E41" s="12"/>
      <c r="G41" s="198"/>
      <c r="H41" s="12"/>
      <c r="J41" s="198"/>
      <c r="K41" s="12"/>
      <c r="M41" s="198"/>
      <c r="N41" s="12"/>
      <c r="P41" s="198"/>
      <c r="Q41" s="12"/>
      <c r="S41" s="198"/>
      <c r="T41" s="12"/>
    </row>
    <row r="42" spans="1:20" s="40" customFormat="1">
      <c r="B42" s="199"/>
      <c r="E42" s="200"/>
      <c r="H42" s="201"/>
      <c r="K42" s="201"/>
      <c r="N42" s="201"/>
      <c r="Q42" s="201"/>
      <c r="T42" s="201"/>
    </row>
    <row r="43" spans="1:20" s="10" customFormat="1" ht="21">
      <c r="D43" s="196"/>
      <c r="H43" s="197"/>
    </row>
    <row r="44" spans="1:20" s="10" customFormat="1">
      <c r="B44" s="40"/>
      <c r="E44" s="40"/>
      <c r="H44" s="40"/>
      <c r="K44" s="40"/>
      <c r="N44" s="40"/>
      <c r="Q44" s="40"/>
      <c r="T44" s="40"/>
    </row>
    <row r="45" spans="1:20" s="10" customFormat="1"/>
    <row r="46" spans="1:20" s="10" customFormat="1"/>
    <row r="47" spans="1:20" s="10" customFormat="1"/>
    <row r="48" spans="1:20" s="10" customFormat="1"/>
    <row r="49" spans="1:20" s="10" customFormat="1"/>
    <row r="50" spans="1:20" s="10" customFormat="1"/>
    <row r="51" spans="1:20" s="10" customFormat="1"/>
    <row r="52" spans="1:20" s="10" customFormat="1"/>
    <row r="53" spans="1:20" s="10" customFormat="1"/>
    <row r="54" spans="1:20" s="40" customFormat="1">
      <c r="A54" s="198"/>
      <c r="B54" s="12"/>
      <c r="D54" s="198"/>
      <c r="E54" s="12"/>
      <c r="G54" s="198"/>
      <c r="H54" s="12"/>
      <c r="J54" s="198"/>
      <c r="K54" s="12"/>
      <c r="M54" s="198"/>
      <c r="N54" s="12"/>
      <c r="P54" s="198"/>
      <c r="Q54" s="12"/>
      <c r="S54" s="198"/>
      <c r="T54" s="12"/>
    </row>
    <row r="55" spans="1:20" s="40" customFormat="1">
      <c r="B55" s="199"/>
      <c r="E55" s="200"/>
      <c r="H55" s="201"/>
      <c r="K55" s="201"/>
      <c r="N55" s="201"/>
      <c r="Q55" s="201"/>
      <c r="T55" s="201"/>
    </row>
    <row r="56" spans="1:20" s="10" customFormat="1" ht="21">
      <c r="D56" s="196"/>
      <c r="H56" s="197"/>
    </row>
    <row r="57" spans="1:20" s="10" customFormat="1">
      <c r="B57" s="40"/>
      <c r="E57" s="40"/>
      <c r="H57" s="40"/>
      <c r="K57" s="40"/>
      <c r="N57" s="40"/>
      <c r="Q57" s="40"/>
      <c r="T57" s="40"/>
    </row>
    <row r="58" spans="1:20" s="10" customFormat="1"/>
    <row r="59" spans="1:20" s="10" customFormat="1"/>
    <row r="60" spans="1:20" s="10" customFormat="1"/>
    <row r="61" spans="1:20" s="10" customFormat="1"/>
    <row r="62" spans="1:20" s="10" customFormat="1"/>
    <row r="63" spans="1:20" s="10" customFormat="1"/>
    <row r="64" spans="1:20" s="10" customFormat="1"/>
    <row r="65" spans="1:20" s="10" customFormat="1"/>
    <row r="66" spans="1:20" s="10" customFormat="1"/>
    <row r="67" spans="1:20" s="40" customFormat="1">
      <c r="A67" s="198"/>
      <c r="B67" s="12"/>
      <c r="D67" s="198"/>
      <c r="E67" s="12"/>
      <c r="G67" s="198"/>
      <c r="H67" s="12"/>
      <c r="J67" s="198"/>
      <c r="K67" s="12"/>
      <c r="M67" s="198"/>
      <c r="N67" s="12"/>
      <c r="P67" s="198"/>
      <c r="Q67" s="12"/>
      <c r="S67" s="198"/>
      <c r="T67" s="12"/>
    </row>
    <row r="68" spans="1:20" s="40" customFormat="1">
      <c r="B68" s="199"/>
      <c r="E68" s="200"/>
      <c r="H68" s="201"/>
      <c r="K68" s="201"/>
      <c r="N68" s="201"/>
      <c r="Q68" s="201"/>
      <c r="T68" s="201"/>
    </row>
    <row r="69" spans="1:20">
      <c r="K69" s="1" t="s">
        <v>789</v>
      </c>
    </row>
  </sheetData>
  <mergeCells count="5">
    <mergeCell ref="G34:J34"/>
    <mergeCell ref="G35:J35"/>
    <mergeCell ref="G36:J36"/>
    <mergeCell ref="G37:J37"/>
    <mergeCell ref="G38:J3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63"/>
  <sheetViews>
    <sheetView topLeftCell="A25" zoomScale="60" zoomScaleNormal="60" workbookViewId="0">
      <selection activeCell="K49" sqref="K49"/>
    </sheetView>
  </sheetViews>
  <sheetFormatPr baseColWidth="10" defaultColWidth="9.1640625" defaultRowHeight="15"/>
  <cols>
    <col min="1" max="1" width="18" style="1" bestFit="1" customWidth="1"/>
    <col min="2" max="2" width="9.1640625" style="1"/>
    <col min="3" max="3" width="10.1640625" style="1" bestFit="1" customWidth="1"/>
    <col min="4" max="16384" width="9.1640625" style="1"/>
  </cols>
  <sheetData>
    <row r="1" spans="1:20" ht="21">
      <c r="A1" s="7" t="s">
        <v>1002</v>
      </c>
      <c r="B1" s="204" t="s">
        <v>1</v>
      </c>
      <c r="C1" s="204"/>
      <c r="D1" s="204"/>
      <c r="E1" s="203"/>
      <c r="K1" s="203" t="s">
        <v>998</v>
      </c>
      <c r="L1" s="203"/>
      <c r="M1" s="203"/>
      <c r="N1" s="203"/>
    </row>
    <row r="2" spans="1:20" ht="21">
      <c r="A2" s="205">
        <v>45947</v>
      </c>
    </row>
    <row r="3" spans="1:20">
      <c r="A3" s="202"/>
    </row>
    <row r="4" spans="1:20" s="144" customFormat="1" ht="19">
      <c r="A4" s="206"/>
      <c r="B4" s="207"/>
      <c r="C4" s="208" t="s">
        <v>2</v>
      </c>
      <c r="D4" s="207"/>
      <c r="F4" s="207"/>
      <c r="G4" s="208" t="s">
        <v>2</v>
      </c>
      <c r="H4" s="207"/>
      <c r="J4" s="207"/>
      <c r="K4" s="208" t="s">
        <v>2</v>
      </c>
      <c r="L4" s="207"/>
      <c r="N4" s="207"/>
      <c r="O4" s="208" t="s">
        <v>2</v>
      </c>
      <c r="P4" s="207"/>
      <c r="R4" s="207"/>
      <c r="S4" s="208" t="s">
        <v>2</v>
      </c>
      <c r="T4" s="207"/>
    </row>
    <row r="5" spans="1:20" s="144" customFormat="1" ht="19">
      <c r="A5" s="206"/>
      <c r="B5" s="144" t="s">
        <v>1003</v>
      </c>
      <c r="F5" s="144" t="s">
        <v>1008</v>
      </c>
      <c r="J5" s="144" t="s">
        <v>1012</v>
      </c>
      <c r="N5" s="144" t="s">
        <v>1017</v>
      </c>
      <c r="R5" s="144" t="s">
        <v>1022</v>
      </c>
    </row>
    <row r="6" spans="1:20" s="144" customFormat="1" ht="19">
      <c r="A6" s="206"/>
      <c r="B6" s="144" t="s">
        <v>1004</v>
      </c>
      <c r="F6" s="144" t="s">
        <v>1009</v>
      </c>
      <c r="J6" s="144" t="s">
        <v>1013</v>
      </c>
      <c r="N6" s="144" t="s">
        <v>1018</v>
      </c>
      <c r="R6" s="144" t="s">
        <v>1018</v>
      </c>
    </row>
    <row r="7" spans="1:20" s="144" customFormat="1" ht="19">
      <c r="A7" s="206"/>
    </row>
    <row r="8" spans="1:20" s="144" customFormat="1" ht="19">
      <c r="A8" s="206"/>
      <c r="B8" s="144" t="s">
        <v>12</v>
      </c>
      <c r="F8" s="144" t="s">
        <v>1010</v>
      </c>
      <c r="J8" s="144" t="s">
        <v>1014</v>
      </c>
      <c r="N8" s="144" t="s">
        <v>34</v>
      </c>
      <c r="R8" s="144" t="s">
        <v>27</v>
      </c>
    </row>
    <row r="9" spans="1:20" s="144" customFormat="1" ht="19">
      <c r="A9" s="206"/>
      <c r="B9" s="144" t="s">
        <v>1005</v>
      </c>
      <c r="F9" s="144" t="s">
        <v>1007</v>
      </c>
      <c r="J9" s="144" t="s">
        <v>1013</v>
      </c>
      <c r="N9" s="144" t="s">
        <v>1019</v>
      </c>
      <c r="R9" s="144" t="s">
        <v>1023</v>
      </c>
    </row>
    <row r="10" spans="1:20" s="144" customFormat="1" ht="19">
      <c r="A10" s="206"/>
    </row>
    <row r="11" spans="1:20" s="144" customFormat="1" ht="19">
      <c r="A11" s="206"/>
      <c r="B11" s="144" t="s">
        <v>1006</v>
      </c>
      <c r="F11" s="144" t="s">
        <v>1011</v>
      </c>
      <c r="J11" s="144" t="s">
        <v>1015</v>
      </c>
      <c r="N11" s="144" t="s">
        <v>1020</v>
      </c>
      <c r="R11" s="144" t="s">
        <v>1024</v>
      </c>
    </row>
    <row r="12" spans="1:20" s="144" customFormat="1" ht="19">
      <c r="A12" s="206"/>
      <c r="B12" s="144" t="s">
        <v>1007</v>
      </c>
      <c r="F12" s="144" t="s">
        <v>1005</v>
      </c>
      <c r="J12" s="144" t="s">
        <v>1016</v>
      </c>
      <c r="N12" s="144" t="s">
        <v>1021</v>
      </c>
      <c r="R12" s="144" t="s">
        <v>1018</v>
      </c>
    </row>
    <row r="13" spans="1:20" s="144" customFormat="1" ht="19">
      <c r="A13" s="206"/>
    </row>
    <row r="14" spans="1:20" s="142" customFormat="1" ht="19">
      <c r="A14" s="206"/>
      <c r="B14" s="151" t="s">
        <v>3</v>
      </c>
      <c r="C14" s="153">
        <f>AVERAGE(1.68,1.67,1.68)</f>
        <v>1.6766666666666665</v>
      </c>
      <c r="D14" s="208"/>
      <c r="F14" s="151" t="s">
        <v>3</v>
      </c>
      <c r="G14" s="153">
        <f>AVERAGE(1.69,1.68,1.67)</f>
        <v>1.68</v>
      </c>
      <c r="H14" s="208"/>
      <c r="J14" s="151" t="s">
        <v>3</v>
      </c>
      <c r="K14" s="153">
        <f>AVERAGE(1.62,1.62,1.62)</f>
        <v>1.62</v>
      </c>
      <c r="L14" s="208"/>
      <c r="N14" s="151" t="s">
        <v>3</v>
      </c>
      <c r="O14" s="153">
        <f>AVERAGE(1.64,1.64,1.65)</f>
        <v>1.6433333333333333</v>
      </c>
      <c r="P14" s="208"/>
      <c r="R14" s="151" t="s">
        <v>3</v>
      </c>
      <c r="S14" s="153">
        <f>AVERAGE(1.64,1.63,1.64)</f>
        <v>1.6366666666666665</v>
      </c>
      <c r="T14" s="208"/>
    </row>
    <row r="15" spans="1:20" s="144" customFormat="1" ht="19">
      <c r="A15" s="206"/>
    </row>
    <row r="16" spans="1:20" s="144" customFormat="1" ht="19">
      <c r="B16" s="211"/>
      <c r="C16" s="211"/>
      <c r="D16" s="211"/>
      <c r="E16" s="211"/>
      <c r="F16" s="211"/>
      <c r="G16" s="211"/>
      <c r="H16" s="211"/>
      <c r="I16" s="212" t="s">
        <v>39</v>
      </c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</row>
    <row r="17" spans="2:20" s="144" customFormat="1" ht="19">
      <c r="B17" s="207"/>
      <c r="C17" s="208" t="s">
        <v>999</v>
      </c>
      <c r="D17" s="207"/>
      <c r="F17" s="207"/>
      <c r="G17" s="208" t="s">
        <v>1000</v>
      </c>
      <c r="H17" s="207"/>
      <c r="J17" s="207"/>
      <c r="K17" s="208" t="s">
        <v>1001</v>
      </c>
      <c r="L17" s="207"/>
      <c r="N17" s="207"/>
      <c r="O17" s="208" t="s">
        <v>5</v>
      </c>
      <c r="P17" s="207"/>
      <c r="R17" s="207"/>
      <c r="S17" s="208" t="s">
        <v>4</v>
      </c>
      <c r="T17" s="207"/>
    </row>
    <row r="18" spans="2:20" s="144" customFormat="1" ht="19">
      <c r="B18" s="144" t="s">
        <v>145</v>
      </c>
      <c r="F18" s="144" t="s">
        <v>147</v>
      </c>
      <c r="J18" s="144" t="s">
        <v>1035</v>
      </c>
      <c r="N18" s="144" t="s">
        <v>1037</v>
      </c>
      <c r="R18" s="144" t="s">
        <v>1049</v>
      </c>
    </row>
    <row r="19" spans="2:20" s="144" customFormat="1" ht="19">
      <c r="B19" s="144" t="s">
        <v>1025</v>
      </c>
      <c r="F19" s="144" t="s">
        <v>1028</v>
      </c>
      <c r="J19" s="144" t="s">
        <v>1032</v>
      </c>
      <c r="N19" s="144" t="s">
        <v>354</v>
      </c>
      <c r="R19" s="144" t="s">
        <v>1050</v>
      </c>
    </row>
    <row r="20" spans="2:20" s="144" customFormat="1" ht="19"/>
    <row r="21" spans="2:20" s="144" customFormat="1" ht="19">
      <c r="B21" s="144" t="s">
        <v>989</v>
      </c>
      <c r="F21" s="144" t="s">
        <v>1029</v>
      </c>
      <c r="J21" s="144" t="s">
        <v>1036</v>
      </c>
      <c r="N21" s="144" t="s">
        <v>1038</v>
      </c>
      <c r="R21" s="144" t="s">
        <v>1041</v>
      </c>
    </row>
    <row r="22" spans="2:20" s="144" customFormat="1" ht="19">
      <c r="B22" s="144" t="s">
        <v>675</v>
      </c>
      <c r="F22" s="144" t="s">
        <v>1030</v>
      </c>
      <c r="J22" s="144" t="s">
        <v>1034</v>
      </c>
      <c r="N22" s="144" t="s">
        <v>1034</v>
      </c>
      <c r="R22" s="144" t="s">
        <v>1042</v>
      </c>
    </row>
    <row r="23" spans="2:20" s="144" customFormat="1" ht="19"/>
    <row r="24" spans="2:20" s="144" customFormat="1" ht="19">
      <c r="B24" s="144" t="s">
        <v>1026</v>
      </c>
      <c r="F24" s="144" t="s">
        <v>1031</v>
      </c>
      <c r="J24" s="144" t="s">
        <v>1033</v>
      </c>
      <c r="N24" s="144" t="s">
        <v>1039</v>
      </c>
      <c r="R24" s="144" t="s">
        <v>171</v>
      </c>
    </row>
    <row r="25" spans="2:20" s="144" customFormat="1" ht="19">
      <c r="B25" s="144" t="s">
        <v>1027</v>
      </c>
      <c r="F25" s="144" t="s">
        <v>462</v>
      </c>
      <c r="J25" s="144" t="s">
        <v>1034</v>
      </c>
      <c r="N25" s="144" t="s">
        <v>1040</v>
      </c>
      <c r="R25" s="144" t="s">
        <v>156</v>
      </c>
    </row>
    <row r="26" spans="2:20" s="144" customFormat="1" ht="19"/>
    <row r="27" spans="2:20" s="144" customFormat="1" ht="19">
      <c r="B27" s="144" t="s">
        <v>1043</v>
      </c>
      <c r="F27" s="144" t="s">
        <v>1045</v>
      </c>
      <c r="R27" s="144" t="s">
        <v>1010</v>
      </c>
    </row>
    <row r="28" spans="2:20" s="144" customFormat="1" ht="19">
      <c r="B28" s="144" t="s">
        <v>1044</v>
      </c>
      <c r="F28" s="144" t="s">
        <v>1028</v>
      </c>
      <c r="R28" s="144" t="s">
        <v>32</v>
      </c>
    </row>
    <row r="29" spans="2:20" s="144" customFormat="1" ht="19"/>
    <row r="30" spans="2:20" s="144" customFormat="1" ht="19">
      <c r="F30" s="144" t="s">
        <v>1046</v>
      </c>
      <c r="R30" s="144" t="s">
        <v>1048</v>
      </c>
    </row>
    <row r="31" spans="2:20" s="144" customFormat="1" ht="19">
      <c r="F31" s="144" t="s">
        <v>1032</v>
      </c>
      <c r="R31" s="144" t="s">
        <v>32</v>
      </c>
    </row>
    <row r="32" spans="2:20" s="144" customFormat="1" ht="19"/>
    <row r="33" spans="2:20" s="144" customFormat="1" ht="19">
      <c r="F33" s="144" t="s">
        <v>1047</v>
      </c>
    </row>
    <row r="34" spans="2:20" s="144" customFormat="1" ht="19">
      <c r="F34" s="144" t="s">
        <v>1034</v>
      </c>
    </row>
    <row r="35" spans="2:20" s="144" customFormat="1" ht="19"/>
    <row r="36" spans="2:20" s="144" customFormat="1" ht="19">
      <c r="B36" s="209" t="s">
        <v>3</v>
      </c>
      <c r="C36" s="153">
        <f>AVERAGE(0.53,0.52,0.53)</f>
        <v>0.52666666666666673</v>
      </c>
      <c r="D36" s="207"/>
      <c r="F36" s="209" t="s">
        <v>3</v>
      </c>
      <c r="G36" s="210">
        <f>AVERAGE(0.67,0.67,0.65,0.66)</f>
        <v>0.66250000000000009</v>
      </c>
      <c r="H36" s="207"/>
      <c r="J36" s="209" t="s">
        <v>3</v>
      </c>
      <c r="K36" s="210">
        <f>AVERAGE(0.65,0.66,0.66)</f>
        <v>0.65666666666666673</v>
      </c>
      <c r="L36" s="207"/>
      <c r="N36" s="209" t="s">
        <v>3</v>
      </c>
      <c r="O36" s="210">
        <f>AVERAGE(0.66,0.66,0.64)</f>
        <v>0.65333333333333332</v>
      </c>
      <c r="P36" s="207"/>
      <c r="R36" s="209" t="s">
        <v>3</v>
      </c>
      <c r="S36" s="210">
        <f>AVERAGE(0.82,0.8,0.8,0.81,0.76)</f>
        <v>0.79800000000000004</v>
      </c>
      <c r="T36" s="207"/>
    </row>
    <row r="37" spans="2:20" s="144" customFormat="1" ht="19">
      <c r="B37" s="213" t="s">
        <v>996</v>
      </c>
      <c r="C37" s="213">
        <f>_xlfn.STDEV.S(0.008,0.009,0.011)</f>
        <v>1.5275252316519464E-3</v>
      </c>
      <c r="D37" s="213"/>
      <c r="F37" s="213" t="s">
        <v>996</v>
      </c>
      <c r="G37" s="213">
        <f>_xlfn.STDEV.S(0.009,0.009,0.009)</f>
        <v>0</v>
      </c>
      <c r="H37" s="213"/>
      <c r="J37" s="213" t="s">
        <v>996</v>
      </c>
      <c r="K37" s="213">
        <f>_xlfn.STDEV.S(0.008,0.009,0.011)</f>
        <v>1.5275252316519464E-3</v>
      </c>
      <c r="L37" s="213"/>
      <c r="N37" s="213" t="s">
        <v>996</v>
      </c>
      <c r="O37" s="213">
        <f>_xlfn.STDEV.S(0.008,0.009,0.01)</f>
        <v>1E-3</v>
      </c>
      <c r="P37" s="213"/>
      <c r="R37" s="213" t="s">
        <v>996</v>
      </c>
      <c r="S37" s="213">
        <f>_xlfn.STDEV.S(0.008,0.009,0.011)</f>
        <v>1.5275252316519464E-3</v>
      </c>
      <c r="T37" s="213"/>
    </row>
    <row r="38" spans="2:20" s="144" customFormat="1" ht="19">
      <c r="B38" s="211"/>
      <c r="C38" s="211"/>
      <c r="D38" s="211"/>
      <c r="E38" s="211"/>
      <c r="F38" s="211"/>
      <c r="G38" s="212" t="s">
        <v>41</v>
      </c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</row>
    <row r="39" spans="2:20" s="144" customFormat="1" ht="19">
      <c r="B39" s="207"/>
      <c r="C39" s="208" t="s">
        <v>999</v>
      </c>
      <c r="D39" s="207"/>
      <c r="F39" s="207"/>
      <c r="G39" s="208" t="s">
        <v>1000</v>
      </c>
      <c r="H39" s="207"/>
      <c r="J39" s="207"/>
      <c r="K39" s="208" t="s">
        <v>1001</v>
      </c>
      <c r="L39" s="207"/>
      <c r="N39" s="207"/>
      <c r="O39" s="208" t="s">
        <v>5</v>
      </c>
      <c r="P39" s="207"/>
      <c r="R39" s="207"/>
      <c r="S39" s="208" t="s">
        <v>4</v>
      </c>
      <c r="T39" s="207"/>
    </row>
    <row r="40" spans="2:20" s="144" customFormat="1" ht="19">
      <c r="B40" s="144" t="s">
        <v>1051</v>
      </c>
      <c r="F40" s="144" t="s">
        <v>1055</v>
      </c>
      <c r="J40" s="144" t="s">
        <v>1061</v>
      </c>
      <c r="N40" s="144" t="s">
        <v>15</v>
      </c>
      <c r="R40" s="144" t="s">
        <v>1067</v>
      </c>
    </row>
    <row r="41" spans="2:20" s="144" customFormat="1" ht="19">
      <c r="B41" s="144" t="s">
        <v>1052</v>
      </c>
      <c r="F41" s="144" t="s">
        <v>1056</v>
      </c>
      <c r="J41" s="144" t="s">
        <v>1052</v>
      </c>
      <c r="N41" s="144" t="s">
        <v>1066</v>
      </c>
      <c r="R41" s="144" t="s">
        <v>1068</v>
      </c>
    </row>
    <row r="42" spans="2:20" s="144" customFormat="1" ht="19"/>
    <row r="43" spans="2:20" s="144" customFormat="1" ht="19">
      <c r="B43" s="144" t="s">
        <v>1053</v>
      </c>
      <c r="F43" s="144" t="s">
        <v>1057</v>
      </c>
      <c r="J43" s="144" t="s">
        <v>1062</v>
      </c>
      <c r="R43" s="144" t="s">
        <v>19</v>
      </c>
    </row>
    <row r="44" spans="2:20" s="144" customFormat="1" ht="19">
      <c r="B44" s="144" t="s">
        <v>1054</v>
      </c>
      <c r="F44" s="144" t="s">
        <v>1058</v>
      </c>
      <c r="J44" s="144" t="s">
        <v>1063</v>
      </c>
      <c r="R44" s="144" t="s">
        <v>1069</v>
      </c>
    </row>
    <row r="45" spans="2:20" s="144" customFormat="1" ht="19"/>
    <row r="46" spans="2:20" s="144" customFormat="1" ht="19">
      <c r="B46" s="144" t="s">
        <v>152</v>
      </c>
      <c r="F46" s="144" t="s">
        <v>1059</v>
      </c>
      <c r="J46" s="144" t="s">
        <v>1064</v>
      </c>
      <c r="R46" s="144" t="s">
        <v>1010</v>
      </c>
    </row>
    <row r="47" spans="2:20" s="144" customFormat="1" ht="19">
      <c r="B47" s="144" t="s">
        <v>384</v>
      </c>
      <c r="F47" s="144" t="s">
        <v>1060</v>
      </c>
      <c r="J47" s="144" t="s">
        <v>1065</v>
      </c>
      <c r="R47" s="144" t="s">
        <v>1070</v>
      </c>
    </row>
    <row r="48" spans="2:20" s="144" customFormat="1" ht="19"/>
    <row r="49" spans="2:20" s="144" customFormat="1" ht="19">
      <c r="B49" s="209" t="s">
        <v>3</v>
      </c>
      <c r="C49" s="210">
        <f>AVERAGE(0.34,0.37,0.35)</f>
        <v>0.35333333333333333</v>
      </c>
      <c r="D49" s="207"/>
      <c r="F49" s="209" t="s">
        <v>3</v>
      </c>
      <c r="G49" s="210">
        <f>AVERAGE(0.42,0.42,0.43)</f>
        <v>0.42333333333333334</v>
      </c>
      <c r="H49" s="207"/>
      <c r="J49" s="209" t="s">
        <v>3</v>
      </c>
      <c r="K49" s="210">
        <f>AVERAGE(0.34,0.36,0.35)</f>
        <v>0.34999999999999992</v>
      </c>
      <c r="L49" s="207"/>
      <c r="N49" s="209" t="s">
        <v>3</v>
      </c>
      <c r="O49" s="210">
        <v>0.82333333333333325</v>
      </c>
      <c r="P49" s="207"/>
      <c r="R49" s="209" t="s">
        <v>3</v>
      </c>
      <c r="S49" s="210">
        <f>AVERAGE(0.33,0.31,0.32)</f>
        <v>0.32</v>
      </c>
      <c r="T49" s="207"/>
    </row>
    <row r="50" spans="2:20" s="144" customFormat="1" ht="19">
      <c r="B50" s="213" t="s">
        <v>996</v>
      </c>
      <c r="C50" s="213">
        <f>_xlfn.STDEV.S(0.009,0.009,0.008)</f>
        <v>5.7735026918962525E-4</v>
      </c>
      <c r="D50" s="213"/>
      <c r="F50" s="213" t="s">
        <v>996</v>
      </c>
      <c r="G50" s="213">
        <f>_xlfn.STDEV.S(0.009,0.008,0.01)</f>
        <v>1E-3</v>
      </c>
      <c r="H50" s="213"/>
      <c r="J50" s="213" t="s">
        <v>996</v>
      </c>
      <c r="K50" s="213">
        <f>_xlfn.STDEV.S(0.009,0.009,0.009)</f>
        <v>0</v>
      </c>
      <c r="L50" s="213"/>
      <c r="N50" s="213" t="s">
        <v>996</v>
      </c>
      <c r="O50" s="213">
        <f>_xlfn.STDEV.S(0.008,0.009,0.011)</f>
        <v>1.5275252316519464E-3</v>
      </c>
      <c r="P50" s="213"/>
      <c r="R50" s="213" t="s">
        <v>996</v>
      </c>
      <c r="S50" s="213">
        <f>_xlfn.STDEV.S(0.009,0.009,0.009)</f>
        <v>0</v>
      </c>
      <c r="T50" s="213"/>
    </row>
    <row r="51" spans="2:20" s="144" customFormat="1" ht="19">
      <c r="B51" s="211"/>
      <c r="C51" s="211"/>
      <c r="D51" s="211"/>
      <c r="E51" s="211"/>
      <c r="F51" s="211"/>
      <c r="G51" s="212" t="s">
        <v>41</v>
      </c>
      <c r="H51" s="211"/>
      <c r="I51" s="211"/>
      <c r="J51" s="211"/>
      <c r="K51" s="211"/>
      <c r="L51" s="211"/>
      <c r="M51" s="211"/>
      <c r="N51" s="211"/>
      <c r="O51" s="211"/>
      <c r="P51" s="211"/>
      <c r="Q51" s="211"/>
      <c r="R51" s="211"/>
      <c r="S51" s="211"/>
      <c r="T51" s="211"/>
    </row>
    <row r="52" spans="2:20" s="144" customFormat="1" ht="19">
      <c r="B52" s="207"/>
      <c r="C52" s="208" t="s">
        <v>999</v>
      </c>
      <c r="D52" s="207"/>
      <c r="F52" s="207"/>
      <c r="G52" s="208" t="s">
        <v>1000</v>
      </c>
      <c r="H52" s="207"/>
      <c r="J52" s="207"/>
      <c r="K52" s="208" t="s">
        <v>1001</v>
      </c>
      <c r="L52" s="207"/>
      <c r="N52" s="207"/>
      <c r="O52" s="208" t="s">
        <v>5</v>
      </c>
      <c r="P52" s="207"/>
      <c r="R52" s="207"/>
      <c r="S52" s="208" t="s">
        <v>4</v>
      </c>
      <c r="T52" s="207"/>
    </row>
    <row r="53" spans="2:20" s="144" customFormat="1" ht="19">
      <c r="B53" s="144" t="s">
        <v>1071</v>
      </c>
      <c r="F53" s="144" t="s">
        <v>1075</v>
      </c>
      <c r="J53" s="144" t="s">
        <v>1029</v>
      </c>
      <c r="N53" s="144" t="s">
        <v>1078</v>
      </c>
      <c r="R53" s="144" t="s">
        <v>1081</v>
      </c>
    </row>
    <row r="54" spans="2:20" s="144" customFormat="1" ht="19">
      <c r="B54" s="144" t="s">
        <v>1072</v>
      </c>
      <c r="F54" s="144" t="s">
        <v>1052</v>
      </c>
      <c r="J54" s="144" t="s">
        <v>1076</v>
      </c>
      <c r="N54" s="144" t="s">
        <v>1079</v>
      </c>
      <c r="R54" s="144" t="s">
        <v>1076</v>
      </c>
    </row>
    <row r="55" spans="2:20" s="144" customFormat="1" ht="19"/>
    <row r="56" spans="2:20" s="144" customFormat="1" ht="19">
      <c r="B56" s="144" t="s">
        <v>38</v>
      </c>
      <c r="F56" s="144" t="s">
        <v>162</v>
      </c>
      <c r="J56" s="144" t="s">
        <v>1077</v>
      </c>
      <c r="N56" s="144" t="s">
        <v>896</v>
      </c>
      <c r="R56" s="144" t="s">
        <v>1029</v>
      </c>
    </row>
    <row r="57" spans="2:20" s="144" customFormat="1" ht="19">
      <c r="B57" s="144" t="s">
        <v>352</v>
      </c>
      <c r="F57" s="144" t="s">
        <v>1052</v>
      </c>
      <c r="J57" s="144" t="s">
        <v>1076</v>
      </c>
      <c r="N57" s="144" t="s">
        <v>1080</v>
      </c>
      <c r="R57" s="144" t="s">
        <v>1082</v>
      </c>
    </row>
    <row r="58" spans="2:20" s="144" customFormat="1" ht="19"/>
    <row r="59" spans="2:20" s="144" customFormat="1" ht="19">
      <c r="B59" s="144" t="s">
        <v>1073</v>
      </c>
      <c r="F59" s="144" t="s">
        <v>160</v>
      </c>
      <c r="J59" s="144" t="s">
        <v>19</v>
      </c>
      <c r="N59" s="144" t="s">
        <v>19</v>
      </c>
      <c r="R59" s="144" t="s">
        <v>1083</v>
      </c>
    </row>
    <row r="60" spans="2:20" s="144" customFormat="1" ht="19">
      <c r="B60" s="144" t="s">
        <v>1074</v>
      </c>
      <c r="F60" s="144" t="s">
        <v>1065</v>
      </c>
      <c r="J60" s="144" t="s">
        <v>1076</v>
      </c>
      <c r="N60" s="144" t="s">
        <v>1065</v>
      </c>
      <c r="R60" s="144" t="s">
        <v>1082</v>
      </c>
    </row>
    <row r="61" spans="2:20" s="144" customFormat="1" ht="19"/>
    <row r="62" spans="2:20" s="144" customFormat="1" ht="19">
      <c r="B62" s="209" t="s">
        <v>3</v>
      </c>
      <c r="C62" s="210">
        <f>AVERAGE(0.59,0.61,0.6)</f>
        <v>0.6</v>
      </c>
      <c r="D62" s="207"/>
      <c r="F62" s="209" t="s">
        <v>3</v>
      </c>
      <c r="G62" s="210">
        <f>AVERAGE(0.34,0.34,0.35)</f>
        <v>0.34333333333333332</v>
      </c>
      <c r="H62" s="207"/>
      <c r="J62" s="209" t="s">
        <v>3</v>
      </c>
      <c r="K62" s="210">
        <f>AVERAGE(0.28,0.28,0.28)</f>
        <v>0.28000000000000003</v>
      </c>
      <c r="L62" s="207"/>
      <c r="N62" s="209" t="s">
        <v>3</v>
      </c>
      <c r="O62" s="210">
        <f>AVERAGE(0.36,0.38,0.35)</f>
        <v>0.36333333333333329</v>
      </c>
      <c r="P62" s="207"/>
      <c r="R62" s="209" t="s">
        <v>3</v>
      </c>
      <c r="S62" s="210">
        <f>AVERAGE(0.28,0.26,0.26)</f>
        <v>0.26666666666666666</v>
      </c>
      <c r="T62" s="207"/>
    </row>
    <row r="63" spans="2:20" s="144" customFormat="1" ht="19">
      <c r="B63" s="213" t="s">
        <v>996</v>
      </c>
      <c r="C63" s="213">
        <f>_xlfn.STDEV.S(0.009,0.009,0.008)</f>
        <v>5.7735026918962525E-4</v>
      </c>
      <c r="D63" s="213"/>
      <c r="F63" s="213" t="s">
        <v>996</v>
      </c>
      <c r="G63" s="213">
        <f>_xlfn.STDEV.S(0.009,0.009,0.009)</f>
        <v>0</v>
      </c>
      <c r="H63" s="213"/>
      <c r="J63" s="213" t="s">
        <v>996</v>
      </c>
      <c r="K63" s="213">
        <f>_xlfn.STDEV.S(0.009,0.009,0.009)</f>
        <v>0</v>
      </c>
      <c r="L63" s="213"/>
      <c r="N63" s="213" t="s">
        <v>996</v>
      </c>
      <c r="O63" s="213">
        <f>_xlfn.STDEV.S(0.008,0.009,0.01)</f>
        <v>1E-3</v>
      </c>
      <c r="P63" s="213"/>
      <c r="R63" s="213" t="s">
        <v>996</v>
      </c>
      <c r="S63" s="213">
        <f>_xlfn.STDEV.S(0.009,0.009,0.009)</f>
        <v>0</v>
      </c>
      <c r="T63" s="213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81"/>
  <sheetViews>
    <sheetView zoomScale="70" zoomScaleNormal="70" workbookViewId="0">
      <selection activeCell="F46" sqref="F46"/>
    </sheetView>
  </sheetViews>
  <sheetFormatPr baseColWidth="10" defaultColWidth="9.1640625" defaultRowHeight="15"/>
  <cols>
    <col min="1" max="1" width="18" style="1" bestFit="1" customWidth="1"/>
    <col min="2" max="2" width="17" bestFit="1" customWidth="1"/>
    <col min="3" max="3" width="9.1640625" style="1"/>
    <col min="5" max="5" width="9.1640625" style="1"/>
    <col min="6" max="6" width="10.1640625" style="1" bestFit="1" customWidth="1"/>
    <col min="7" max="13" width="9.1640625" style="1"/>
    <col min="14" max="14" width="10.1640625" style="1" bestFit="1" customWidth="1"/>
    <col min="15" max="16" width="9.1640625" style="1"/>
    <col min="17" max="17" width="17" style="1" bestFit="1" customWidth="1"/>
    <col min="18" max="21" width="9.1640625" style="1"/>
    <col min="22" max="22" width="10.1640625" style="1" bestFit="1" customWidth="1"/>
    <col min="23" max="16384" width="9.1640625" style="1"/>
  </cols>
  <sheetData>
    <row r="1" spans="1:28" ht="21">
      <c r="A1" s="7" t="s">
        <v>1002</v>
      </c>
      <c r="E1" s="204" t="s">
        <v>1</v>
      </c>
      <c r="F1" s="204"/>
      <c r="G1" s="204"/>
      <c r="H1" s="203"/>
      <c r="N1" s="203" t="s">
        <v>998</v>
      </c>
      <c r="O1" s="203"/>
      <c r="P1" s="203"/>
      <c r="T1" s="203" t="s">
        <v>1084</v>
      </c>
    </row>
    <row r="2" spans="1:28" ht="21">
      <c r="A2" s="205">
        <v>45951</v>
      </c>
    </row>
    <row r="3" spans="1:28">
      <c r="A3" s="202"/>
    </row>
    <row r="4" spans="1:28" s="144" customFormat="1" ht="19">
      <c r="A4" s="207"/>
      <c r="B4" s="208" t="s">
        <v>2</v>
      </c>
      <c r="C4" s="208"/>
      <c r="D4" s="143"/>
      <c r="E4" s="207"/>
      <c r="F4" s="208" t="s">
        <v>2</v>
      </c>
      <c r="G4" s="207"/>
      <c r="I4" s="207"/>
      <c r="J4" s="208" t="s">
        <v>2</v>
      </c>
      <c r="K4" s="207"/>
      <c r="M4" s="207"/>
      <c r="N4" s="208" t="s">
        <v>2</v>
      </c>
      <c r="O4" s="207"/>
      <c r="Q4" s="208" t="s">
        <v>2</v>
      </c>
      <c r="R4" s="207"/>
      <c r="S4" s="207"/>
      <c r="U4" s="207"/>
      <c r="V4" s="208" t="s">
        <v>2</v>
      </c>
      <c r="W4" s="207"/>
      <c r="Z4" s="215" t="s">
        <v>2</v>
      </c>
      <c r="AA4" s="215"/>
      <c r="AB4" s="215"/>
    </row>
    <row r="5" spans="1:28" s="144" customFormat="1" ht="19">
      <c r="A5" s="144" t="s">
        <v>1085</v>
      </c>
      <c r="E5" s="144" t="s">
        <v>1091</v>
      </c>
      <c r="I5" s="144" t="s">
        <v>1096</v>
      </c>
      <c r="M5" s="144" t="s">
        <v>1101</v>
      </c>
      <c r="Q5" s="144" t="s">
        <v>1105</v>
      </c>
      <c r="U5" s="144" t="s">
        <v>1109</v>
      </c>
      <c r="Z5" s="144" t="s">
        <v>1170</v>
      </c>
    </row>
    <row r="6" spans="1:28" s="144" customFormat="1" ht="19">
      <c r="A6" s="144" t="s">
        <v>1086</v>
      </c>
      <c r="E6" s="144" t="s">
        <v>1092</v>
      </c>
      <c r="I6" s="144" t="s">
        <v>1097</v>
      </c>
      <c r="M6" s="144" t="s">
        <v>1102</v>
      </c>
      <c r="Q6" s="144" t="s">
        <v>1106</v>
      </c>
      <c r="U6" s="144" t="s">
        <v>1110</v>
      </c>
      <c r="Z6" s="144" t="s">
        <v>1102</v>
      </c>
    </row>
    <row r="7" spans="1:28" s="144" customFormat="1" ht="19"/>
    <row r="8" spans="1:28" s="144" customFormat="1" ht="19">
      <c r="A8" s="144" t="s">
        <v>1087</v>
      </c>
      <c r="E8" s="144" t="s">
        <v>1093</v>
      </c>
      <c r="I8" s="144" t="s">
        <v>1098</v>
      </c>
      <c r="M8" s="144" t="s">
        <v>1103</v>
      </c>
      <c r="Q8" s="144" t="s">
        <v>1107</v>
      </c>
      <c r="U8" s="144" t="s">
        <v>1111</v>
      </c>
      <c r="Z8" s="144" t="s">
        <v>1171</v>
      </c>
    </row>
    <row r="9" spans="1:28" s="144" customFormat="1" ht="19">
      <c r="A9" s="144" t="s">
        <v>1088</v>
      </c>
      <c r="E9" s="144" t="s">
        <v>1092</v>
      </c>
      <c r="I9" s="144" t="s">
        <v>1099</v>
      </c>
      <c r="M9" s="144" t="s">
        <v>1090</v>
      </c>
      <c r="Q9" s="144" t="s">
        <v>1090</v>
      </c>
      <c r="U9" s="144" t="s">
        <v>1110</v>
      </c>
      <c r="Z9" s="144" t="s">
        <v>1172</v>
      </c>
    </row>
    <row r="10" spans="1:28" s="144" customFormat="1" ht="19"/>
    <row r="11" spans="1:28" s="144" customFormat="1" ht="19">
      <c r="A11" s="144" t="s">
        <v>1089</v>
      </c>
      <c r="E11" s="144" t="s">
        <v>1094</v>
      </c>
      <c r="I11" s="144" t="s">
        <v>1100</v>
      </c>
      <c r="M11" s="144" t="s">
        <v>1104</v>
      </c>
      <c r="Q11" s="144" t="s">
        <v>1108</v>
      </c>
      <c r="U11" s="144" t="s">
        <v>1112</v>
      </c>
      <c r="Z11" s="144" t="s">
        <v>1173</v>
      </c>
    </row>
    <row r="12" spans="1:28" s="144" customFormat="1" ht="19">
      <c r="A12" s="144" t="s">
        <v>1090</v>
      </c>
      <c r="E12" s="144" t="s">
        <v>1095</v>
      </c>
      <c r="I12" s="144" t="s">
        <v>1099</v>
      </c>
      <c r="M12" s="144" t="s">
        <v>1090</v>
      </c>
      <c r="Q12" s="144" t="s">
        <v>1090</v>
      </c>
      <c r="U12" s="144" t="s">
        <v>1113</v>
      </c>
      <c r="Z12" s="144" t="s">
        <v>1090</v>
      </c>
    </row>
    <row r="13" spans="1:28" s="144" customFormat="1" ht="19"/>
    <row r="14" spans="1:28" s="142" customFormat="1" ht="19">
      <c r="A14" s="151" t="s">
        <v>3</v>
      </c>
      <c r="B14" s="153">
        <f>AVERAGE(1.39,1.39,1.38)</f>
        <v>1.3866666666666667</v>
      </c>
      <c r="C14" s="153"/>
      <c r="D14" s="46"/>
      <c r="E14" s="151" t="s">
        <v>3</v>
      </c>
      <c r="F14" s="153">
        <f>AVERAGE(1.4,1.4,1.4)</f>
        <v>1.3999999999999997</v>
      </c>
      <c r="G14" s="208"/>
      <c r="I14" s="151" t="s">
        <v>3</v>
      </c>
      <c r="J14" s="153">
        <f>AVERAGE(1.35,1.35,1.35)</f>
        <v>1.3500000000000003</v>
      </c>
      <c r="K14" s="208"/>
      <c r="M14" s="151" t="s">
        <v>3</v>
      </c>
      <c r="N14" s="153">
        <f>AVERAGE(1.39,1.38,1.38)</f>
        <v>1.3833333333333331</v>
      </c>
      <c r="O14" s="208"/>
      <c r="Q14" s="153">
        <f>AVERAGE(1.38,1.38,1.38)</f>
        <v>1.38</v>
      </c>
      <c r="R14" s="208"/>
      <c r="S14" s="208"/>
      <c r="U14" s="151" t="s">
        <v>3</v>
      </c>
      <c r="V14" s="153">
        <f>AVERAGE(1.42,1.42,1.43)</f>
        <v>1.4233333333333331</v>
      </c>
      <c r="W14" s="208"/>
      <c r="AA14" s="153">
        <f>AVERAGE(1.39,1.39,1.38)</f>
        <v>1.3866666666666667</v>
      </c>
    </row>
    <row r="15" spans="1:28" s="144" customFormat="1" ht="19"/>
    <row r="16" spans="1:28" s="144" customFormat="1" ht="19">
      <c r="A16" s="211"/>
      <c r="B16" s="211"/>
      <c r="C16" s="211"/>
      <c r="D16" s="211"/>
      <c r="E16" s="211"/>
      <c r="F16" s="211"/>
      <c r="G16" s="211"/>
      <c r="H16" s="211"/>
      <c r="I16" s="211"/>
      <c r="J16" s="211"/>
      <c r="K16" s="211"/>
      <c r="L16" s="212" t="s">
        <v>39</v>
      </c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</row>
    <row r="17" spans="1:28" s="144" customFormat="1" ht="19">
      <c r="A17" s="207"/>
      <c r="B17" s="208" t="s">
        <v>1127</v>
      </c>
      <c r="C17" s="208"/>
      <c r="D17" s="143"/>
      <c r="E17" s="207"/>
      <c r="F17" s="208" t="s">
        <v>999</v>
      </c>
      <c r="G17" s="207"/>
      <c r="I17" s="207"/>
      <c r="J17" s="208" t="s">
        <v>1000</v>
      </c>
      <c r="K17" s="207"/>
      <c r="M17" s="207"/>
      <c r="N17" s="208" t="s">
        <v>1001</v>
      </c>
      <c r="O17" s="207"/>
      <c r="Q17" s="208" t="s">
        <v>5</v>
      </c>
      <c r="R17" s="207"/>
      <c r="S17" s="207"/>
      <c r="U17" s="207"/>
      <c r="V17" s="208" t="s">
        <v>4</v>
      </c>
      <c r="W17" s="207"/>
      <c r="Z17" s="144" t="s">
        <v>1179</v>
      </c>
    </row>
    <row r="18" spans="1:28" s="144" customFormat="1" ht="19">
      <c r="A18" s="144" t="s">
        <v>1152</v>
      </c>
      <c r="E18" s="144" t="s">
        <v>1122</v>
      </c>
      <c r="I18" s="144" t="s">
        <v>1126</v>
      </c>
      <c r="M18" s="144" t="s">
        <v>950</v>
      </c>
      <c r="Q18" s="144" t="s">
        <v>1137</v>
      </c>
      <c r="U18" s="144" t="s">
        <v>1114</v>
      </c>
      <c r="Z18" s="144" t="s">
        <v>1180</v>
      </c>
    </row>
    <row r="19" spans="1:28" s="144" customFormat="1" ht="19">
      <c r="A19" s="144" t="s">
        <v>1166</v>
      </c>
      <c r="E19" s="144" t="s">
        <v>1123</v>
      </c>
      <c r="I19" s="144" t="s">
        <v>1128</v>
      </c>
      <c r="M19" s="144" t="s">
        <v>1132</v>
      </c>
      <c r="Q19" s="144" t="s">
        <v>1138</v>
      </c>
      <c r="U19" s="144" t="s">
        <v>1115</v>
      </c>
    </row>
    <row r="20" spans="1:28" s="144" customFormat="1" ht="19">
      <c r="Z20" s="144" t="s">
        <v>1181</v>
      </c>
    </row>
    <row r="21" spans="1:28" s="144" customFormat="1" ht="19">
      <c r="A21" s="144" t="s">
        <v>1167</v>
      </c>
      <c r="E21" s="144" t="s">
        <v>1124</v>
      </c>
      <c r="I21" s="144" t="s">
        <v>1129</v>
      </c>
      <c r="M21" s="144" t="s">
        <v>1133</v>
      </c>
      <c r="Q21" s="144" t="s">
        <v>1139</v>
      </c>
      <c r="U21" s="144" t="s">
        <v>1116</v>
      </c>
      <c r="Z21" s="144" t="s">
        <v>1182</v>
      </c>
    </row>
    <row r="22" spans="1:28" s="144" customFormat="1" ht="19">
      <c r="A22" s="144" t="s">
        <v>1168</v>
      </c>
      <c r="E22" s="144" t="s">
        <v>1125</v>
      </c>
      <c r="I22" s="144" t="s">
        <v>1123</v>
      </c>
      <c r="M22" s="144" t="s">
        <v>1134</v>
      </c>
      <c r="Q22" s="144" t="s">
        <v>1138</v>
      </c>
      <c r="U22" s="144" t="s">
        <v>1117</v>
      </c>
    </row>
    <row r="23" spans="1:28" s="144" customFormat="1" ht="19">
      <c r="Z23" s="144" t="s">
        <v>1111</v>
      </c>
    </row>
    <row r="24" spans="1:28" s="144" customFormat="1" ht="19">
      <c r="A24" s="144" t="s">
        <v>1139</v>
      </c>
      <c r="E24" s="144" t="s">
        <v>1126</v>
      </c>
      <c r="I24" s="144" t="s">
        <v>1130</v>
      </c>
      <c r="M24" s="144" t="s">
        <v>1135</v>
      </c>
      <c r="Q24" s="144" t="s">
        <v>1093</v>
      </c>
      <c r="U24" s="144" t="s">
        <v>1118</v>
      </c>
      <c r="Z24" s="144" t="s">
        <v>1183</v>
      </c>
    </row>
    <row r="25" spans="1:28" s="144" customFormat="1" ht="19">
      <c r="A25" s="144" t="s">
        <v>1169</v>
      </c>
      <c r="E25" s="144" t="s">
        <v>1125</v>
      </c>
      <c r="I25" s="144" t="s">
        <v>1131</v>
      </c>
      <c r="M25" s="144" t="s">
        <v>1136</v>
      </c>
      <c r="Q25" s="144" t="s">
        <v>1140</v>
      </c>
      <c r="U25" s="144" t="s">
        <v>1119</v>
      </c>
    </row>
    <row r="26" spans="1:28" s="144" customFormat="1" ht="19">
      <c r="AA26" s="216">
        <f>AVERAGE(0.003,0.002,0.001)</f>
        <v>2E-3</v>
      </c>
      <c r="AB26" s="144" t="s">
        <v>1184</v>
      </c>
    </row>
    <row r="27" spans="1:28" s="144" customFormat="1" ht="19">
      <c r="U27" s="144" t="s">
        <v>1120</v>
      </c>
    </row>
    <row r="28" spans="1:28" s="144" customFormat="1" ht="19">
      <c r="U28" s="144" t="s">
        <v>1121</v>
      </c>
    </row>
    <row r="29" spans="1:28" s="144" customFormat="1" ht="19">
      <c r="A29" s="209" t="s">
        <v>3</v>
      </c>
      <c r="B29" s="153">
        <f>AVERAGE(0.64,0.65,0.64)</f>
        <v>0.64333333333333342</v>
      </c>
      <c r="C29" s="153"/>
      <c r="D29" s="143"/>
      <c r="E29" s="209" t="s">
        <v>3</v>
      </c>
      <c r="F29" s="153">
        <f>AVERAGE(0.58,0.54,0.54)</f>
        <v>0.55333333333333334</v>
      </c>
      <c r="G29" s="207"/>
      <c r="I29" s="209" t="s">
        <v>3</v>
      </c>
      <c r="J29" s="210">
        <f>AVERAGE(0.56,0.58,0.55)</f>
        <v>0.56333333333333335</v>
      </c>
      <c r="K29" s="207"/>
      <c r="M29" s="209" t="s">
        <v>3</v>
      </c>
      <c r="N29" s="210">
        <f>AVERAGE(0.6,0.62,0.63)</f>
        <v>0.6166666666666667</v>
      </c>
      <c r="O29" s="207"/>
      <c r="Q29" s="210">
        <f>AVERAGE(0.67,0.67,0.72)</f>
        <v>0.68666666666666665</v>
      </c>
      <c r="R29" s="207"/>
      <c r="S29" s="207"/>
      <c r="U29" s="209" t="s">
        <v>3</v>
      </c>
      <c r="V29" s="210">
        <f>AVERAGE(0.94,0.97,0.84,0.9)</f>
        <v>0.91249999999999998</v>
      </c>
      <c r="W29" s="207"/>
    </row>
    <row r="30" spans="1:28" s="144" customFormat="1" ht="19">
      <c r="A30" s="213" t="s">
        <v>996</v>
      </c>
      <c r="B30" s="214">
        <f>_xlfn.STDEV.S(0.012,0.012,0.012)</f>
        <v>2.1245936804851847E-18</v>
      </c>
      <c r="C30" s="213"/>
      <c r="D30" s="143"/>
      <c r="E30" s="213" t="s">
        <v>996</v>
      </c>
      <c r="F30" s="214">
        <f>_xlfn.STDEV.S(0.012,0.012,0.012)</f>
        <v>2.1245936804851847E-18</v>
      </c>
      <c r="G30" s="213"/>
      <c r="I30" s="213" t="s">
        <v>996</v>
      </c>
      <c r="J30" s="213">
        <f>_xlfn.STDEV.S(0.009,0.009,0.009)</f>
        <v>0</v>
      </c>
      <c r="K30" s="213"/>
      <c r="M30" s="213" t="s">
        <v>996</v>
      </c>
      <c r="N30" s="213">
        <f>_xlfn.STDEV.S(0.012,0.012,0.011)</f>
        <v>5.7735026918962634E-4</v>
      </c>
      <c r="O30" s="213"/>
      <c r="Q30" s="214">
        <f>_xlfn.STDEV.S(0.012,0.012,0.012)</f>
        <v>2.1245936804851847E-18</v>
      </c>
      <c r="R30" s="213"/>
      <c r="S30" s="213"/>
      <c r="U30" s="213" t="s">
        <v>996</v>
      </c>
      <c r="V30" s="213">
        <f>_xlfn.STDEV.S(0.011,0.011,0.011,0.012)</f>
        <v>5.0000000000000044E-4</v>
      </c>
      <c r="W30" s="213"/>
    </row>
    <row r="31" spans="1:28" s="144" customFormat="1" ht="19">
      <c r="A31" s="211"/>
      <c r="B31" s="211"/>
      <c r="C31" s="211"/>
      <c r="D31" s="211"/>
      <c r="E31" s="211"/>
      <c r="F31" s="211"/>
      <c r="G31" s="211"/>
      <c r="H31" s="211"/>
      <c r="I31" s="211"/>
      <c r="J31" s="212" t="s">
        <v>41</v>
      </c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</row>
    <row r="32" spans="1:28" s="144" customFormat="1" ht="19">
      <c r="A32" s="207"/>
      <c r="B32" s="208" t="s">
        <v>1127</v>
      </c>
      <c r="C32" s="208"/>
      <c r="D32" s="143"/>
      <c r="E32" s="207"/>
      <c r="F32" s="208" t="s">
        <v>999</v>
      </c>
      <c r="G32" s="207"/>
      <c r="I32" s="207"/>
      <c r="J32" s="208" t="s">
        <v>1000</v>
      </c>
      <c r="K32" s="207"/>
      <c r="M32" s="207"/>
      <c r="N32" s="208" t="s">
        <v>1001</v>
      </c>
      <c r="O32" s="207"/>
      <c r="Q32" s="208" t="s">
        <v>5</v>
      </c>
      <c r="R32" s="207"/>
      <c r="S32" s="207"/>
      <c r="U32" s="207"/>
      <c r="V32" s="208" t="s">
        <v>4</v>
      </c>
      <c r="W32" s="207"/>
    </row>
    <row r="33" spans="1:23" s="144" customFormat="1" ht="19">
      <c r="A33" s="144" t="s">
        <v>1174</v>
      </c>
      <c r="E33" s="144" t="s">
        <v>1141</v>
      </c>
      <c r="I33" s="144" t="s">
        <v>1145</v>
      </c>
      <c r="M33" s="144" t="s">
        <v>1150</v>
      </c>
      <c r="Q33" s="144" t="s">
        <v>1155</v>
      </c>
      <c r="U33" s="144" t="s">
        <v>1161</v>
      </c>
    </row>
    <row r="34" spans="1:23" s="144" customFormat="1" ht="19">
      <c r="A34" s="144" t="s">
        <v>1163</v>
      </c>
      <c r="E34" s="144" t="s">
        <v>1125</v>
      </c>
      <c r="I34" s="144" t="s">
        <v>1146</v>
      </c>
      <c r="M34" s="144" t="s">
        <v>1151</v>
      </c>
      <c r="Q34" s="144" t="s">
        <v>1156</v>
      </c>
      <c r="U34" s="144" t="s">
        <v>1162</v>
      </c>
    </row>
    <row r="35" spans="1:23" s="144" customFormat="1" ht="19"/>
    <row r="36" spans="1:23" s="144" customFormat="1" ht="19">
      <c r="A36" s="144" t="s">
        <v>1175</v>
      </c>
      <c r="E36" s="144" t="s">
        <v>1142</v>
      </c>
      <c r="I36" s="144" t="s">
        <v>1147</v>
      </c>
      <c r="M36" s="144" t="s">
        <v>1152</v>
      </c>
      <c r="Q36" s="144" t="s">
        <v>1157</v>
      </c>
      <c r="U36" s="144" t="s">
        <v>1103</v>
      </c>
    </row>
    <row r="37" spans="1:23" s="144" customFormat="1" ht="19">
      <c r="A37" s="144" t="s">
        <v>1176</v>
      </c>
      <c r="E37" s="144" t="s">
        <v>1125</v>
      </c>
      <c r="I37" s="144" t="s">
        <v>1148</v>
      </c>
      <c r="M37" s="144" t="s">
        <v>1153</v>
      </c>
      <c r="Q37" s="144" t="s">
        <v>1158</v>
      </c>
      <c r="U37" s="144" t="s">
        <v>1163</v>
      </c>
    </row>
    <row r="38" spans="1:23" s="144" customFormat="1" ht="19"/>
    <row r="39" spans="1:23" s="144" customFormat="1" ht="19">
      <c r="A39" s="144" t="s">
        <v>1177</v>
      </c>
      <c r="E39" s="144" t="s">
        <v>1143</v>
      </c>
      <c r="I39" s="144" t="s">
        <v>1118</v>
      </c>
      <c r="M39" s="144" t="s">
        <v>1154</v>
      </c>
      <c r="Q39" s="144" t="s">
        <v>1159</v>
      </c>
      <c r="U39" s="144" t="s">
        <v>1164</v>
      </c>
    </row>
    <row r="40" spans="1:23" s="144" customFormat="1" ht="19">
      <c r="A40" s="144" t="s">
        <v>1178</v>
      </c>
      <c r="E40" s="144" t="s">
        <v>1144</v>
      </c>
      <c r="I40" s="144" t="s">
        <v>1149</v>
      </c>
      <c r="M40" s="144" t="s">
        <v>1134</v>
      </c>
      <c r="Q40" s="144" t="s">
        <v>1160</v>
      </c>
      <c r="U40" s="144" t="s">
        <v>1165</v>
      </c>
    </row>
    <row r="41" spans="1:23" s="144" customFormat="1" ht="19"/>
    <row r="42" spans="1:23" s="144" customFormat="1" ht="19">
      <c r="A42" s="209" t="s">
        <v>3</v>
      </c>
      <c r="B42" s="210">
        <f>AVERAGE(0.39,0.29,0.37)</f>
        <v>0.34999999999999992</v>
      </c>
      <c r="C42" s="210"/>
      <c r="D42" s="143"/>
      <c r="E42" s="209" t="s">
        <v>3</v>
      </c>
      <c r="F42" s="210">
        <v>0.34</v>
      </c>
      <c r="G42" s="207"/>
      <c r="I42" s="209" t="s">
        <v>3</v>
      </c>
      <c r="J42" s="210">
        <f>AVERAGE(0.37,0.35,0.34)</f>
        <v>0.35333333333333333</v>
      </c>
      <c r="K42" s="207"/>
      <c r="M42" s="209" t="s">
        <v>3</v>
      </c>
      <c r="N42" s="210">
        <v>0.35</v>
      </c>
      <c r="O42" s="207"/>
      <c r="Q42" s="210">
        <f>AVERAGE(0.35,0.34,0.33)</f>
        <v>0.34</v>
      </c>
      <c r="R42" s="207"/>
      <c r="S42" s="207"/>
      <c r="U42" s="209" t="s">
        <v>3</v>
      </c>
      <c r="V42" s="210">
        <f>AVERAGE(0.43,0.39,0.42)</f>
        <v>0.41333333333333333</v>
      </c>
      <c r="W42" s="207"/>
    </row>
    <row r="43" spans="1:23" s="144" customFormat="1" ht="19">
      <c r="A43" s="213" t="s">
        <v>996</v>
      </c>
      <c r="B43" s="213">
        <f>_xlfn.STDEV.S(0.012,0.012,0.011)</f>
        <v>5.7735026918962634E-4</v>
      </c>
      <c r="C43" s="213"/>
      <c r="D43" s="143"/>
      <c r="E43" s="213" t="s">
        <v>996</v>
      </c>
      <c r="F43" s="213">
        <f>_xlfn.STDEV.S(0.011,0.012,0.012)</f>
        <v>5.7735026918962623E-4</v>
      </c>
      <c r="G43" s="213"/>
      <c r="I43" s="213" t="s">
        <v>996</v>
      </c>
      <c r="J43" s="213">
        <f>_xlfn.STDEV.S(0.012,0.012,0.01)</f>
        <v>1.1547005383792516E-3</v>
      </c>
      <c r="K43" s="213"/>
      <c r="M43" s="213" t="s">
        <v>996</v>
      </c>
      <c r="N43" s="213">
        <f>_xlfn.STDEV.S(0.012,0.012,0.011)</f>
        <v>5.7735026918962634E-4</v>
      </c>
      <c r="O43" s="213"/>
      <c r="Q43" s="214">
        <f>_xlfn.STDEV.S(0.012,0.012,0.011)</f>
        <v>5.7735026918962634E-4</v>
      </c>
      <c r="R43" s="213"/>
      <c r="S43" s="213"/>
      <c r="U43" s="213" t="s">
        <v>996</v>
      </c>
      <c r="V43" s="213">
        <f>_xlfn.STDEV.S(0.011,0.012,0.011)</f>
        <v>5.7735026918962623E-4</v>
      </c>
      <c r="W43" s="213"/>
    </row>
    <row r="44" spans="1:23" s="144" customFormat="1" ht="19">
      <c r="A44" s="143"/>
      <c r="B44" s="143"/>
      <c r="C44" s="143"/>
      <c r="D44" s="143"/>
      <c r="E44" s="143"/>
      <c r="F44" s="143"/>
      <c r="G44" s="143"/>
      <c r="H44" s="143"/>
      <c r="I44" s="143"/>
      <c r="J44" s="46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</row>
    <row r="45" spans="1:23" s="144" customFormat="1" ht="19">
      <c r="A45" s="143"/>
      <c r="B45" s="46"/>
      <c r="C45" s="46"/>
      <c r="D45" s="143"/>
      <c r="E45" s="143"/>
      <c r="F45" s="46"/>
      <c r="G45" s="143"/>
      <c r="H45" s="143"/>
      <c r="I45" s="143"/>
      <c r="J45" s="46"/>
      <c r="K45" s="143"/>
      <c r="L45" s="143"/>
      <c r="M45" s="143"/>
      <c r="N45" s="46"/>
      <c r="O45" s="143"/>
      <c r="P45" s="143"/>
      <c r="Q45" s="46"/>
      <c r="R45" s="143"/>
      <c r="S45" s="143"/>
      <c r="T45" s="143"/>
      <c r="U45" s="143"/>
      <c r="V45" s="46"/>
      <c r="W45" s="143"/>
    </row>
    <row r="46" spans="1:23" s="144" customFormat="1" ht="19"/>
    <row r="47" spans="1:23" s="144" customFormat="1" ht="19"/>
    <row r="48" spans="1:23" s="144" customFormat="1" ht="19"/>
    <row r="49" spans="1:23" s="144" customFormat="1" ht="19"/>
    <row r="50" spans="1:23" s="144" customFormat="1" ht="19"/>
    <row r="51" spans="1:23" s="144" customFormat="1" ht="19">
      <c r="A51" s="280" t="s">
        <v>425</v>
      </c>
      <c r="B51" s="280"/>
      <c r="C51" s="280"/>
      <c r="D51" s="220">
        <v>0.01</v>
      </c>
      <c r="E51" s="220">
        <v>1.4999999999999999E-2</v>
      </c>
      <c r="F51" s="220">
        <v>2.5000000000000001E-2</v>
      </c>
      <c r="G51" s="220">
        <v>0.05</v>
      </c>
      <c r="H51" s="220">
        <v>0.1</v>
      </c>
      <c r="I51" s="220">
        <v>0.25</v>
      </c>
      <c r="J51" s="281" t="s">
        <v>1185</v>
      </c>
      <c r="K51" s="281"/>
    </row>
    <row r="52" spans="1:23" s="144" customFormat="1" ht="19">
      <c r="A52" s="281" t="s">
        <v>426</v>
      </c>
      <c r="B52" s="281"/>
      <c r="C52" s="281"/>
      <c r="D52" s="219">
        <v>0.64</v>
      </c>
      <c r="E52" s="221">
        <v>0.55000000000000004</v>
      </c>
      <c r="F52" s="221">
        <v>0.56000000000000005</v>
      </c>
      <c r="G52" s="221">
        <v>0.62</v>
      </c>
      <c r="H52" s="221">
        <v>0.69</v>
      </c>
      <c r="I52" s="221">
        <v>0.91</v>
      </c>
      <c r="J52" s="282">
        <v>2E-3</v>
      </c>
      <c r="K52" s="282"/>
    </row>
    <row r="53" spans="1:23" s="144" customFormat="1" ht="19">
      <c r="A53" s="276" t="s">
        <v>427</v>
      </c>
      <c r="B53" s="276"/>
      <c r="C53" s="276"/>
      <c r="D53" s="222">
        <v>0.35</v>
      </c>
      <c r="E53" s="222">
        <v>0.34</v>
      </c>
      <c r="F53" s="222">
        <v>0.35</v>
      </c>
      <c r="G53" s="222">
        <v>0.35</v>
      </c>
      <c r="H53" s="221">
        <v>0.34</v>
      </c>
      <c r="I53" s="222">
        <v>0.41</v>
      </c>
      <c r="J53" s="283"/>
      <c r="K53" s="28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</row>
    <row r="54" spans="1:23" s="144" customFormat="1" ht="19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</row>
    <row r="55" spans="1:23" s="144" customFormat="1" ht="19">
      <c r="A55" s="217"/>
      <c r="B55" s="218"/>
      <c r="C55" s="218"/>
      <c r="D55" s="143"/>
      <c r="E55" s="217"/>
      <c r="F55" s="218"/>
      <c r="G55" s="143"/>
      <c r="H55" s="143"/>
      <c r="I55" s="217"/>
      <c r="J55" s="218"/>
      <c r="K55" s="143"/>
      <c r="L55" s="143"/>
      <c r="M55" s="217"/>
      <c r="N55" s="218"/>
      <c r="O55" s="143"/>
      <c r="P55" s="143"/>
      <c r="Q55" s="218"/>
      <c r="R55" s="143"/>
      <c r="S55" s="143"/>
      <c r="T55" s="143"/>
      <c r="U55" s="217"/>
      <c r="V55" s="218"/>
      <c r="W55" s="143"/>
    </row>
    <row r="56" spans="1:23" s="144" customFormat="1" ht="19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</row>
    <row r="57" spans="1:23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</row>
    <row r="58" spans="1:23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</row>
    <row r="59" spans="1:23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</row>
    <row r="60" spans="1:23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</row>
    <row r="61" spans="1:23">
      <c r="B61" s="1"/>
      <c r="D61" s="1"/>
    </row>
    <row r="62" spans="1:23">
      <c r="B62" s="1"/>
      <c r="D62" s="1"/>
    </row>
    <row r="63" spans="1:23">
      <c r="B63" s="1"/>
      <c r="D63" s="1"/>
    </row>
    <row r="64" spans="1:23">
      <c r="B64" s="1"/>
      <c r="D64" s="1"/>
    </row>
    <row r="65" spans="2:4">
      <c r="B65" s="1"/>
      <c r="D65" s="1"/>
    </row>
    <row r="66" spans="2:4">
      <c r="B66" s="1"/>
      <c r="D66" s="1"/>
    </row>
    <row r="67" spans="2:4">
      <c r="B67" s="1"/>
      <c r="D67" s="1"/>
    </row>
    <row r="68" spans="2:4">
      <c r="B68" s="1"/>
      <c r="D68" s="1"/>
    </row>
    <row r="69" spans="2:4">
      <c r="B69" s="1"/>
      <c r="D69" s="1"/>
    </row>
    <row r="70" spans="2:4">
      <c r="B70" s="1"/>
      <c r="D70" s="1"/>
    </row>
    <row r="71" spans="2:4">
      <c r="B71" s="1"/>
      <c r="D71" s="1"/>
    </row>
    <row r="72" spans="2:4">
      <c r="B72" s="1"/>
      <c r="D72" s="1"/>
    </row>
    <row r="73" spans="2:4">
      <c r="B73" s="1"/>
      <c r="D73" s="1"/>
    </row>
    <row r="74" spans="2:4">
      <c r="B74" s="1"/>
      <c r="D74" s="1"/>
    </row>
    <row r="75" spans="2:4">
      <c r="B75" s="1"/>
      <c r="D75" s="1"/>
    </row>
    <row r="76" spans="2:4">
      <c r="B76" s="1"/>
      <c r="D76" s="1"/>
    </row>
    <row r="77" spans="2:4">
      <c r="B77" s="1"/>
      <c r="D77" s="1"/>
    </row>
    <row r="78" spans="2:4">
      <c r="B78" s="1"/>
      <c r="D78" s="1"/>
    </row>
    <row r="79" spans="2:4">
      <c r="B79" s="1"/>
      <c r="D79" s="1"/>
    </row>
    <row r="80" spans="2:4">
      <c r="B80" s="1"/>
      <c r="D80" s="1"/>
    </row>
    <row r="81" spans="2:4">
      <c r="B81" s="1"/>
      <c r="D81" s="1"/>
    </row>
  </sheetData>
  <mergeCells count="6">
    <mergeCell ref="A51:C51"/>
    <mergeCell ref="A52:C52"/>
    <mergeCell ref="A53:C53"/>
    <mergeCell ref="J51:K51"/>
    <mergeCell ref="J52:K52"/>
    <mergeCell ref="J53:K53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55"/>
  <sheetViews>
    <sheetView zoomScale="60" zoomScaleNormal="60" workbookViewId="0">
      <selection activeCell="AD17" sqref="AD17"/>
    </sheetView>
  </sheetViews>
  <sheetFormatPr baseColWidth="10" defaultColWidth="9.1640625" defaultRowHeight="15"/>
  <cols>
    <col min="1" max="1" width="18" style="1" bestFit="1" customWidth="1"/>
    <col min="2" max="2" width="17" style="1" bestFit="1" customWidth="1"/>
    <col min="3" max="5" width="9.1640625" style="1"/>
    <col min="6" max="6" width="10.1640625" style="1" bestFit="1" customWidth="1"/>
    <col min="7" max="13" width="9.1640625" style="1"/>
    <col min="14" max="14" width="11.1640625" style="1" bestFit="1" customWidth="1"/>
    <col min="15" max="16" width="9.1640625" style="1"/>
    <col min="17" max="17" width="17" style="1" bestFit="1" customWidth="1"/>
    <col min="18" max="21" width="9.1640625" style="1"/>
    <col min="22" max="22" width="10.1640625" style="1" bestFit="1" customWidth="1"/>
    <col min="23" max="16384" width="9.1640625" style="1"/>
  </cols>
  <sheetData>
    <row r="1" spans="1:28" ht="21">
      <c r="A1" s="7" t="s">
        <v>1002</v>
      </c>
      <c r="E1" s="204" t="s">
        <v>1</v>
      </c>
      <c r="F1" s="204"/>
      <c r="G1" s="204"/>
      <c r="H1" s="203"/>
      <c r="N1" s="203" t="s">
        <v>998</v>
      </c>
      <c r="O1" s="203"/>
      <c r="P1" s="203"/>
      <c r="T1" s="203" t="s">
        <v>1084</v>
      </c>
    </row>
    <row r="2" spans="1:28" ht="21">
      <c r="A2" s="205">
        <v>45953</v>
      </c>
    </row>
    <row r="3" spans="1:28">
      <c r="A3" s="202"/>
    </row>
    <row r="4" spans="1:28" s="144" customFormat="1" ht="19">
      <c r="A4" s="207"/>
      <c r="B4" s="208" t="s">
        <v>2</v>
      </c>
      <c r="C4" s="208"/>
      <c r="D4" s="143"/>
      <c r="E4" s="207"/>
      <c r="F4" s="208" t="s">
        <v>2</v>
      </c>
      <c r="G4" s="207"/>
      <c r="I4" s="207"/>
      <c r="J4" s="208" t="s">
        <v>2</v>
      </c>
      <c r="K4" s="207"/>
      <c r="M4" s="207"/>
      <c r="N4" s="208" t="s">
        <v>2</v>
      </c>
      <c r="O4" s="207"/>
      <c r="Q4" s="208" t="s">
        <v>2</v>
      </c>
      <c r="R4" s="207"/>
      <c r="S4" s="207"/>
      <c r="U4" s="207"/>
      <c r="V4" s="208" t="s">
        <v>2</v>
      </c>
      <c r="W4" s="207"/>
      <c r="Z4" s="215" t="s">
        <v>2</v>
      </c>
      <c r="AA4" s="215"/>
      <c r="AB4" s="215"/>
    </row>
    <row r="5" spans="1:28" s="144" customFormat="1" ht="19">
      <c r="A5" s="144" t="s">
        <v>1186</v>
      </c>
      <c r="E5" s="144" t="s">
        <v>1190</v>
      </c>
      <c r="I5" s="144" t="s">
        <v>1195</v>
      </c>
      <c r="M5" s="144" t="s">
        <v>1198</v>
      </c>
      <c r="Q5" s="144" t="s">
        <v>1203</v>
      </c>
      <c r="U5" s="144" t="s">
        <v>1205</v>
      </c>
    </row>
    <row r="6" spans="1:28" s="144" customFormat="1" ht="19">
      <c r="A6" s="144" t="s">
        <v>1110</v>
      </c>
      <c r="E6" s="144" t="s">
        <v>1191</v>
      </c>
      <c r="I6" s="144" t="s">
        <v>1092</v>
      </c>
      <c r="M6" s="144" t="s">
        <v>1199</v>
      </c>
      <c r="Q6" s="144" t="s">
        <v>1110</v>
      </c>
      <c r="U6" s="144" t="s">
        <v>1110</v>
      </c>
    </row>
    <row r="7" spans="1:28" s="144" customFormat="1" ht="19"/>
    <row r="8" spans="1:28" s="144" customFormat="1" ht="19">
      <c r="A8" s="144" t="s">
        <v>1187</v>
      </c>
      <c r="E8" s="144" t="s">
        <v>1192</v>
      </c>
      <c r="I8" s="144" t="s">
        <v>1196</v>
      </c>
      <c r="M8" s="144" t="s">
        <v>1200</v>
      </c>
      <c r="Q8" s="144" t="s">
        <v>1204</v>
      </c>
      <c r="U8" s="144" t="s">
        <v>1206</v>
      </c>
    </row>
    <row r="9" spans="1:28" s="144" customFormat="1" ht="19">
      <c r="A9" s="144" t="s">
        <v>1188</v>
      </c>
      <c r="E9" s="144" t="s">
        <v>1193</v>
      </c>
      <c r="I9" s="144" t="s">
        <v>1092</v>
      </c>
      <c r="M9" s="144" t="s">
        <v>1201</v>
      </c>
      <c r="Q9" s="144" t="s">
        <v>1110</v>
      </c>
      <c r="U9" s="144" t="s">
        <v>1092</v>
      </c>
    </row>
    <row r="10" spans="1:28" s="144" customFormat="1" ht="19"/>
    <row r="11" spans="1:28" s="144" customFormat="1" ht="19">
      <c r="A11" s="144" t="s">
        <v>1170</v>
      </c>
      <c r="E11" s="144" t="s">
        <v>1194</v>
      </c>
      <c r="I11" s="144" t="s">
        <v>1197</v>
      </c>
      <c r="M11" s="144" t="s">
        <v>1202</v>
      </c>
      <c r="Q11" s="144" t="s">
        <v>1159</v>
      </c>
      <c r="U11" s="144" t="s">
        <v>1207</v>
      </c>
    </row>
    <row r="12" spans="1:28" s="144" customFormat="1" ht="19">
      <c r="A12" s="144" t="s">
        <v>1189</v>
      </c>
      <c r="E12" s="144" t="s">
        <v>1110</v>
      </c>
      <c r="I12" s="144" t="s">
        <v>1092</v>
      </c>
      <c r="M12" s="144" t="s">
        <v>1110</v>
      </c>
      <c r="Q12" s="144" t="s">
        <v>1113</v>
      </c>
      <c r="U12" s="144" t="s">
        <v>1201</v>
      </c>
    </row>
    <row r="13" spans="1:28" s="144" customFormat="1" ht="19"/>
    <row r="14" spans="1:28" s="142" customFormat="1" ht="19">
      <c r="A14" s="151" t="s">
        <v>3</v>
      </c>
      <c r="B14" s="153">
        <f>AVERAGE(1.41,1.42,1.42)</f>
        <v>1.4166666666666667</v>
      </c>
      <c r="C14" s="153"/>
      <c r="D14" s="46"/>
      <c r="E14" s="151" t="s">
        <v>3</v>
      </c>
      <c r="F14" s="153">
        <f>AVERAGE(1.43,1.43,1.42)</f>
        <v>1.4266666666666665</v>
      </c>
      <c r="G14" s="208"/>
      <c r="I14" s="151" t="s">
        <v>3</v>
      </c>
      <c r="J14" s="153">
        <v>1.4</v>
      </c>
      <c r="K14" s="208"/>
      <c r="M14" s="151" t="s">
        <v>3</v>
      </c>
      <c r="N14" s="153">
        <f>AVERAGE(1.42,1.41,1.42)</f>
        <v>1.4166666666666667</v>
      </c>
      <c r="O14" s="208"/>
      <c r="Q14" s="153">
        <f>AVERAGE(1.42,1.42,1.43)</f>
        <v>1.4233333333333331</v>
      </c>
      <c r="R14" s="208"/>
      <c r="S14" s="208"/>
      <c r="U14" s="151" t="s">
        <v>3</v>
      </c>
      <c r="V14" s="153">
        <f>AVERAGE(1.42,1.4,1.41)</f>
        <v>1.41</v>
      </c>
      <c r="W14" s="208"/>
      <c r="AA14" s="153">
        <f>AVERAGE(1.39,1.39,1.38)</f>
        <v>1.3866666666666667</v>
      </c>
    </row>
    <row r="15" spans="1:28" s="144" customFormat="1" ht="19"/>
    <row r="16" spans="1:28" s="144" customFormat="1" ht="19">
      <c r="A16" s="211"/>
      <c r="B16" s="211"/>
      <c r="C16" s="211"/>
      <c r="D16" s="211"/>
      <c r="E16" s="211"/>
      <c r="F16" s="211"/>
      <c r="G16" s="211"/>
      <c r="H16" s="211"/>
      <c r="I16" s="211"/>
      <c r="J16" s="211"/>
      <c r="K16" s="211"/>
      <c r="L16" s="212" t="s">
        <v>39</v>
      </c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</row>
    <row r="17" spans="1:27" s="144" customFormat="1" ht="19">
      <c r="A17" s="207"/>
      <c r="B17" s="208" t="s">
        <v>1127</v>
      </c>
      <c r="C17" s="208"/>
      <c r="D17" s="143"/>
      <c r="E17" s="207"/>
      <c r="F17" s="208" t="s">
        <v>999</v>
      </c>
      <c r="G17" s="207"/>
      <c r="I17" s="207"/>
      <c r="J17" s="208" t="s">
        <v>1000</v>
      </c>
      <c r="K17" s="207"/>
      <c r="M17" s="207"/>
      <c r="N17" s="208" t="s">
        <v>1001</v>
      </c>
      <c r="O17" s="207"/>
      <c r="Q17" s="208" t="s">
        <v>5</v>
      </c>
      <c r="R17" s="207"/>
      <c r="S17" s="207"/>
      <c r="U17" s="207"/>
      <c r="V17" s="208" t="s">
        <v>4</v>
      </c>
      <c r="W17" s="207"/>
      <c r="Z17" s="144" t="s">
        <v>1179</v>
      </c>
    </row>
    <row r="18" spans="1:27" s="144" customFormat="1" ht="19">
      <c r="A18" s="144" t="s">
        <v>1208</v>
      </c>
      <c r="E18" s="144" t="s">
        <v>1212</v>
      </c>
      <c r="I18" s="144" t="s">
        <v>1217</v>
      </c>
      <c r="M18" s="144" t="s">
        <v>1219</v>
      </c>
      <c r="Q18" s="144" t="s">
        <v>1224</v>
      </c>
      <c r="U18" s="144" t="s">
        <v>1228</v>
      </c>
    </row>
    <row r="19" spans="1:27" s="144" customFormat="1" ht="19">
      <c r="A19" s="144" t="s">
        <v>1136</v>
      </c>
      <c r="E19" s="144" t="s">
        <v>1213</v>
      </c>
      <c r="I19" s="144" t="s">
        <v>1218</v>
      </c>
      <c r="M19" s="144" t="s">
        <v>1132</v>
      </c>
      <c r="Q19" s="144" t="s">
        <v>1225</v>
      </c>
      <c r="U19" s="144" t="s">
        <v>1229</v>
      </c>
    </row>
    <row r="20" spans="1:27" s="144" customFormat="1" ht="19"/>
    <row r="21" spans="1:27" s="144" customFormat="1" ht="19">
      <c r="A21" s="144" t="s">
        <v>1209</v>
      </c>
      <c r="E21" s="144" t="s">
        <v>1214</v>
      </c>
      <c r="I21" s="144" t="s">
        <v>1118</v>
      </c>
      <c r="M21" s="144" t="s">
        <v>1220</v>
      </c>
      <c r="Q21" s="144" t="s">
        <v>1103</v>
      </c>
      <c r="U21" s="144" t="s">
        <v>1230</v>
      </c>
    </row>
    <row r="22" spans="1:27" s="144" customFormat="1" ht="19">
      <c r="A22" s="144" t="s">
        <v>1210</v>
      </c>
      <c r="E22" s="144" t="s">
        <v>1215</v>
      </c>
      <c r="I22" s="144" t="s">
        <v>1216</v>
      </c>
      <c r="M22" s="144" t="s">
        <v>1221</v>
      </c>
      <c r="Q22" s="144" t="s">
        <v>1138</v>
      </c>
      <c r="U22" s="144" t="s">
        <v>1227</v>
      </c>
    </row>
    <row r="23" spans="1:27" s="144" customFormat="1" ht="19"/>
    <row r="24" spans="1:27" s="144" customFormat="1" ht="19">
      <c r="A24" s="144" t="s">
        <v>1211</v>
      </c>
      <c r="E24" s="144" t="s">
        <v>1112</v>
      </c>
      <c r="I24" s="144" t="s">
        <v>1195</v>
      </c>
      <c r="M24" s="144" t="s">
        <v>1222</v>
      </c>
      <c r="Q24" s="144" t="s">
        <v>1226</v>
      </c>
      <c r="U24" s="144" t="s">
        <v>1118</v>
      </c>
    </row>
    <row r="25" spans="1:27" s="144" customFormat="1" ht="19">
      <c r="A25" s="144" t="s">
        <v>1136</v>
      </c>
      <c r="E25" s="144" t="s">
        <v>1216</v>
      </c>
      <c r="I25" s="144" t="s">
        <v>1216</v>
      </c>
      <c r="M25" s="144" t="s">
        <v>1223</v>
      </c>
      <c r="Q25" s="144" t="s">
        <v>1227</v>
      </c>
      <c r="U25" s="144" t="s">
        <v>1231</v>
      </c>
    </row>
    <row r="26" spans="1:27" s="144" customFormat="1" ht="19">
      <c r="AA26" s="216"/>
    </row>
    <row r="27" spans="1:27" s="144" customFormat="1" ht="19">
      <c r="U27" s="144" t="s">
        <v>1232</v>
      </c>
    </row>
    <row r="28" spans="1:27" s="144" customFormat="1" ht="19">
      <c r="U28" s="144" t="s">
        <v>1233</v>
      </c>
    </row>
    <row r="29" spans="1:27" s="144" customFormat="1" ht="19">
      <c r="A29" s="209" t="s">
        <v>3</v>
      </c>
      <c r="B29" s="153">
        <f>AVERAGE(0.63,0.61,0.63)</f>
        <v>0.62333333333333341</v>
      </c>
      <c r="C29" s="153"/>
      <c r="D29" s="143"/>
      <c r="E29" s="209" t="s">
        <v>3</v>
      </c>
      <c r="F29" s="153">
        <f>AVERAGE(0.5,0.51,0.5)</f>
        <v>0.5033333333333333</v>
      </c>
      <c r="G29" s="207"/>
      <c r="I29" s="209" t="s">
        <v>3</v>
      </c>
      <c r="J29" s="210">
        <f>AVERAGE(0.52,0.5,0.5)</f>
        <v>0.50666666666666671</v>
      </c>
      <c r="K29" s="207"/>
      <c r="M29" s="209" t="s">
        <v>3</v>
      </c>
      <c r="N29" s="210">
        <f>AVERAGE(0.6,0.55,0.6)</f>
        <v>0.58333333333333337</v>
      </c>
      <c r="O29" s="207"/>
      <c r="Q29" s="210">
        <f>AVERAGE(0.67,0.67,0.69)</f>
        <v>0.67666666666666675</v>
      </c>
      <c r="R29" s="207"/>
      <c r="S29" s="207"/>
      <c r="U29" s="209" t="s">
        <v>3</v>
      </c>
      <c r="V29" s="210">
        <f>AVERAGE(0.71,0.69,0.68,0.7)</f>
        <v>0.69500000000000006</v>
      </c>
      <c r="W29" s="207"/>
    </row>
    <row r="30" spans="1:27" s="144" customFormat="1" ht="19">
      <c r="A30" s="213" t="s">
        <v>996</v>
      </c>
      <c r="B30" s="214">
        <f>_xlfn.STDEV.S(0.012,0.012,0.012)</f>
        <v>2.1245936804851847E-18</v>
      </c>
      <c r="C30" s="213"/>
      <c r="D30" s="143"/>
      <c r="E30" s="213" t="s">
        <v>996</v>
      </c>
      <c r="F30" s="214">
        <f>_xlfn.STDEV.S(0.014,0.013,0.012)</f>
        <v>1E-3</v>
      </c>
      <c r="G30" s="213"/>
      <c r="I30" s="213" t="s">
        <v>996</v>
      </c>
      <c r="J30" s="213">
        <f>_xlfn.STDEV.S(0.009,0.009,0.009)</f>
        <v>0</v>
      </c>
      <c r="K30" s="213"/>
      <c r="M30" s="213" t="s">
        <v>996</v>
      </c>
      <c r="N30" s="225">
        <f>_xlfn.STDEV.S(0.012,0.012,0.011)</f>
        <v>5.7735026918962634E-4</v>
      </c>
      <c r="O30" s="213"/>
      <c r="Q30" s="214">
        <f>_xlfn.STDEV.S(0.012,0.012,0.012)</f>
        <v>2.1245936804851847E-18</v>
      </c>
      <c r="R30" s="213"/>
      <c r="S30" s="213"/>
      <c r="U30" s="213" t="s">
        <v>996</v>
      </c>
      <c r="V30" s="213">
        <f>_xlfn.STDEV.S(0.011,0.011,0.011,0.012)</f>
        <v>5.0000000000000044E-4</v>
      </c>
      <c r="W30" s="213"/>
    </row>
    <row r="31" spans="1:27" s="144" customFormat="1" ht="19">
      <c r="A31" s="143"/>
      <c r="B31" s="46"/>
      <c r="C31" s="46"/>
      <c r="D31" s="143"/>
      <c r="E31" s="143"/>
      <c r="F31" s="46"/>
      <c r="G31" s="143"/>
      <c r="H31" s="143"/>
      <c r="I31" s="143"/>
      <c r="J31" s="46"/>
      <c r="K31" s="143"/>
      <c r="L31" s="143"/>
      <c r="M31" s="143"/>
      <c r="N31" s="46"/>
      <c r="O31" s="143"/>
      <c r="P31" s="143"/>
      <c r="Q31" s="46"/>
      <c r="R31" s="143"/>
      <c r="S31" s="143"/>
      <c r="T31" s="143"/>
      <c r="U31" s="143"/>
      <c r="V31" s="46"/>
      <c r="W31" s="143"/>
    </row>
    <row r="32" spans="1:27" s="144" customFormat="1" ht="19"/>
    <row r="33" spans="1:25" s="144" customFormat="1" ht="19"/>
    <row r="34" spans="1:25" s="144" customFormat="1" ht="19"/>
    <row r="35" spans="1:25" s="144" customFormat="1" ht="19"/>
    <row r="36" spans="1:25" s="144" customFormat="1" ht="19"/>
    <row r="37" spans="1:25" s="144" customFormat="1" ht="19">
      <c r="A37" s="280" t="s">
        <v>425</v>
      </c>
      <c r="B37" s="280"/>
      <c r="C37" s="280"/>
      <c r="D37" s="223">
        <v>0.01</v>
      </c>
      <c r="E37" s="223">
        <v>1.4999999999999999E-2</v>
      </c>
      <c r="F37" s="223">
        <v>2.5000000000000001E-2</v>
      </c>
      <c r="G37" s="223">
        <v>0.05</v>
      </c>
      <c r="H37" s="223">
        <v>0.1</v>
      </c>
      <c r="I37" s="223">
        <v>0.25</v>
      </c>
      <c r="J37" s="285"/>
      <c r="K37" s="285"/>
    </row>
    <row r="38" spans="1:25" s="144" customFormat="1" ht="19">
      <c r="A38" s="281" t="s">
        <v>426</v>
      </c>
      <c r="B38" s="281"/>
      <c r="C38" s="281"/>
      <c r="D38" s="224">
        <v>0.62</v>
      </c>
      <c r="E38" s="224">
        <v>0.5</v>
      </c>
      <c r="F38" s="224">
        <v>0.51</v>
      </c>
      <c r="G38" s="224">
        <v>0.57999999999999996</v>
      </c>
      <c r="H38" s="224">
        <v>0.68</v>
      </c>
      <c r="I38" s="224">
        <v>0.7</v>
      </c>
      <c r="J38" s="284"/>
      <c r="K38" s="284"/>
    </row>
    <row r="39" spans="1:25" s="144" customFormat="1" ht="19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</row>
    <row r="40" spans="1:25" s="144" customFormat="1" ht="19">
      <c r="A40" s="217"/>
      <c r="B40" s="218"/>
      <c r="C40" s="218"/>
      <c r="D40" s="143"/>
      <c r="E40" s="217"/>
      <c r="F40" s="218"/>
      <c r="G40" s="143"/>
      <c r="H40" s="143"/>
      <c r="I40" s="217"/>
      <c r="J40" s="218"/>
      <c r="K40" s="143"/>
      <c r="L40" s="143"/>
      <c r="M40" s="217"/>
      <c r="N40" s="218"/>
      <c r="O40" s="143"/>
      <c r="P40" s="143"/>
      <c r="Q40" s="218"/>
      <c r="R40" s="143"/>
      <c r="S40" s="143"/>
      <c r="T40" s="143"/>
      <c r="U40" s="217"/>
      <c r="V40" s="218"/>
      <c r="W40" s="143"/>
    </row>
    <row r="41" spans="1:25" s="144" customFormat="1" ht="19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</row>
    <row r="42" spans="1:25" s="144" customFormat="1" ht="19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"/>
      <c r="Y42" s="1"/>
    </row>
    <row r="43" spans="1:25" s="144" customFormat="1" ht="19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"/>
      <c r="Y43" s="1"/>
    </row>
    <row r="44" spans="1:25" s="144" customFormat="1" ht="19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"/>
      <c r="Y44" s="1"/>
    </row>
    <row r="45" spans="1:25" s="144" customFormat="1" ht="19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"/>
      <c r="Y45" s="1"/>
    </row>
    <row r="46" spans="1:25" s="144" customFormat="1" ht="1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s="144" customFormat="1" ht="1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s="144" customFormat="1" ht="1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s="144" customFormat="1" ht="1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s="144" customFormat="1" ht="1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s="144" customFormat="1" ht="1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s="144" customFormat="1" ht="1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s="144" customFormat="1" ht="1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s="144" customFormat="1" ht="1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s="144" customFormat="1" ht="1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</sheetData>
  <mergeCells count="4">
    <mergeCell ref="J38:K38"/>
    <mergeCell ref="J37:K37"/>
    <mergeCell ref="A37:C37"/>
    <mergeCell ref="A38:C38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I56"/>
  <sheetViews>
    <sheetView topLeftCell="A18" zoomScale="60" zoomScaleNormal="60" workbookViewId="0">
      <selection activeCell="L48" sqref="L48"/>
    </sheetView>
  </sheetViews>
  <sheetFormatPr baseColWidth="10" defaultColWidth="9.1640625" defaultRowHeight="15"/>
  <cols>
    <col min="1" max="1" width="18" style="1" bestFit="1" customWidth="1"/>
    <col min="2" max="2" width="17" style="1" bestFit="1" customWidth="1"/>
    <col min="3" max="5" width="9.1640625" style="1"/>
    <col min="6" max="6" width="10.1640625" style="1" bestFit="1" customWidth="1"/>
    <col min="7" max="13" width="9.1640625" style="1"/>
    <col min="14" max="14" width="10.1640625" style="1" bestFit="1" customWidth="1"/>
    <col min="15" max="16" width="9.1640625" style="1"/>
    <col min="17" max="17" width="17" style="1" bestFit="1" customWidth="1"/>
    <col min="18" max="21" width="9.1640625" style="1"/>
    <col min="22" max="22" width="10.1640625" style="1" bestFit="1" customWidth="1"/>
    <col min="23" max="24" width="9.1640625" style="1"/>
    <col min="25" max="25" width="17" style="1" bestFit="1" customWidth="1"/>
    <col min="26" max="28" width="9.1640625" style="1"/>
    <col min="29" max="29" width="17" style="1" bestFit="1" customWidth="1"/>
    <col min="30" max="32" width="9.1640625" style="1"/>
    <col min="33" max="33" width="17" style="10" bestFit="1" customWidth="1"/>
    <col min="34" max="35" width="9.1640625" style="10"/>
    <col min="36" max="16384" width="9.1640625" style="1"/>
  </cols>
  <sheetData>
    <row r="1" spans="1:35" ht="21">
      <c r="A1" s="7" t="s">
        <v>1002</v>
      </c>
      <c r="E1" s="204" t="s">
        <v>1</v>
      </c>
      <c r="F1" s="204"/>
      <c r="G1" s="204"/>
      <c r="H1" s="203"/>
      <c r="N1" s="203"/>
      <c r="O1" s="203"/>
      <c r="P1" s="203"/>
      <c r="T1" s="203"/>
    </row>
    <row r="2" spans="1:35" ht="21">
      <c r="A2" s="205">
        <v>45961</v>
      </c>
    </row>
    <row r="3" spans="1:35" ht="19">
      <c r="A3" s="202"/>
      <c r="AB3" s="144"/>
      <c r="AF3" s="144"/>
    </row>
    <row r="4" spans="1:35" s="144" customFormat="1" ht="19">
      <c r="A4" s="287" t="s">
        <v>2</v>
      </c>
      <c r="B4" s="287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Q4" s="287" t="s">
        <v>2</v>
      </c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G4" s="46"/>
      <c r="AH4" s="143"/>
      <c r="AI4" s="143"/>
    </row>
    <row r="5" spans="1:35" s="144" customFormat="1" ht="19">
      <c r="A5" s="144" t="s">
        <v>1238</v>
      </c>
      <c r="T5" s="144" t="s">
        <v>1244</v>
      </c>
      <c r="AG5" s="143"/>
      <c r="AH5" s="143"/>
      <c r="AI5" s="143"/>
    </row>
    <row r="6" spans="1:35" s="144" customFormat="1" ht="19">
      <c r="A6" s="144" t="s">
        <v>1239</v>
      </c>
      <c r="T6" s="144" t="s">
        <v>1245</v>
      </c>
      <c r="AG6" s="143"/>
      <c r="AH6" s="143"/>
      <c r="AI6" s="143"/>
    </row>
    <row r="7" spans="1:35" s="144" customFormat="1" ht="19">
      <c r="AG7" s="143"/>
      <c r="AH7" s="143"/>
      <c r="AI7" s="143"/>
    </row>
    <row r="8" spans="1:35" s="144" customFormat="1" ht="19">
      <c r="A8" s="144" t="s">
        <v>1240</v>
      </c>
      <c r="T8" s="144" t="s">
        <v>1167</v>
      </c>
      <c r="AG8" s="143"/>
      <c r="AH8" s="143"/>
      <c r="AI8" s="143"/>
    </row>
    <row r="9" spans="1:35" s="144" customFormat="1" ht="19">
      <c r="A9" s="144" t="s">
        <v>1241</v>
      </c>
      <c r="T9" s="144" t="s">
        <v>1246</v>
      </c>
      <c r="AG9" s="143"/>
      <c r="AH9" s="143"/>
      <c r="AI9" s="143"/>
    </row>
    <row r="10" spans="1:35" s="144" customFormat="1" ht="19">
      <c r="AG10" s="143"/>
      <c r="AH10" s="143"/>
      <c r="AI10" s="143"/>
    </row>
    <row r="11" spans="1:35" s="144" customFormat="1" ht="19">
      <c r="A11" s="144" t="s">
        <v>1242</v>
      </c>
      <c r="T11" s="144" t="s">
        <v>1247</v>
      </c>
      <c r="AG11" s="143"/>
      <c r="AH11" s="143"/>
      <c r="AI11" s="143"/>
    </row>
    <row r="12" spans="1:35" s="144" customFormat="1" ht="19">
      <c r="A12" s="144" t="s">
        <v>1243</v>
      </c>
      <c r="T12" s="144" t="s">
        <v>1248</v>
      </c>
      <c r="AG12" s="143"/>
      <c r="AH12" s="143"/>
      <c r="AI12" s="143"/>
    </row>
    <row r="13" spans="1:35" s="144" customFormat="1" ht="19">
      <c r="AG13" s="143"/>
      <c r="AH13" s="143"/>
      <c r="AI13" s="143"/>
    </row>
    <row r="14" spans="1:35" s="142" customFormat="1" ht="19">
      <c r="A14" s="288" t="s">
        <v>3</v>
      </c>
      <c r="B14" s="288"/>
      <c r="C14" s="288"/>
      <c r="D14" s="288"/>
      <c r="E14" s="288"/>
      <c r="F14" s="288"/>
      <c r="G14" s="289">
        <f>AVERAGE(1.51,1.52,1.53,1.53)</f>
        <v>1.5225000000000002</v>
      </c>
      <c r="H14" s="289"/>
      <c r="I14" s="289"/>
      <c r="J14" s="289"/>
      <c r="K14" s="289"/>
      <c r="L14" s="289"/>
      <c r="M14" s="289"/>
      <c r="N14" s="289"/>
      <c r="O14" s="289"/>
      <c r="Q14" s="288" t="s">
        <v>3</v>
      </c>
      <c r="R14" s="288"/>
      <c r="S14" s="288"/>
      <c r="T14" s="288"/>
      <c r="U14" s="288"/>
      <c r="V14" s="288"/>
      <c r="W14" s="208"/>
      <c r="X14" s="289">
        <f>AVERAGE(1.57,1.55,1.55,1.56)</f>
        <v>1.5575000000000001</v>
      </c>
      <c r="Y14" s="289"/>
      <c r="Z14" s="289"/>
      <c r="AA14" s="289"/>
      <c r="AB14" s="289"/>
      <c r="AC14" s="289"/>
      <c r="AD14" s="289"/>
      <c r="AE14" s="289"/>
      <c r="AF14" s="289"/>
      <c r="AG14" s="155"/>
      <c r="AH14" s="46"/>
      <c r="AI14" s="46"/>
    </row>
    <row r="15" spans="1:35" s="144" customFormat="1" ht="19">
      <c r="AG15" s="143"/>
      <c r="AH15" s="143"/>
      <c r="AI15" s="143"/>
    </row>
    <row r="16" spans="1:35" s="144" customFormat="1" ht="19">
      <c r="A16" s="211"/>
      <c r="B16" s="211"/>
      <c r="C16" s="211"/>
      <c r="D16" s="211"/>
      <c r="E16" s="211"/>
      <c r="F16" s="211">
        <v>1.56</v>
      </c>
      <c r="G16" s="211"/>
      <c r="H16" s="211"/>
      <c r="I16" s="211"/>
      <c r="J16" s="211"/>
      <c r="K16" s="211"/>
      <c r="L16" s="212" t="s">
        <v>39</v>
      </c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Y16" s="211"/>
      <c r="Z16" s="211"/>
      <c r="AA16" s="211"/>
      <c r="AC16" s="211"/>
      <c r="AD16" s="211"/>
      <c r="AE16" s="211"/>
      <c r="AG16" s="143"/>
      <c r="AH16" s="143"/>
      <c r="AI16" s="143"/>
    </row>
    <row r="17" spans="1:35" s="144" customFormat="1" ht="19">
      <c r="A17" s="207"/>
      <c r="B17" s="208" t="s">
        <v>1234</v>
      </c>
      <c r="C17" s="208"/>
      <c r="D17" s="143"/>
      <c r="E17" s="207"/>
      <c r="F17" s="208" t="s">
        <v>1235</v>
      </c>
      <c r="G17" s="207"/>
      <c r="I17" s="207"/>
      <c r="J17" s="208" t="s">
        <v>169</v>
      </c>
      <c r="K17" s="207"/>
      <c r="M17" s="207"/>
      <c r="N17" s="208" t="s">
        <v>424</v>
      </c>
      <c r="O17" s="207"/>
      <c r="Q17" s="226" t="s">
        <v>469</v>
      </c>
      <c r="R17" s="207"/>
      <c r="S17" s="207"/>
      <c r="U17" s="207"/>
      <c r="V17" s="208" t="s">
        <v>1236</v>
      </c>
      <c r="W17" s="207"/>
      <c r="Y17" s="287" t="s">
        <v>997</v>
      </c>
      <c r="Z17" s="287"/>
      <c r="AA17" s="287"/>
      <c r="AC17" s="287" t="s">
        <v>1237</v>
      </c>
      <c r="AD17" s="287"/>
      <c r="AE17" s="287"/>
      <c r="AG17" s="230"/>
      <c r="AH17" s="143"/>
      <c r="AI17" s="143"/>
    </row>
    <row r="18" spans="1:35" s="144" customFormat="1" ht="19">
      <c r="A18" s="144" t="s">
        <v>1249</v>
      </c>
      <c r="E18" s="144" t="s">
        <v>1255</v>
      </c>
      <c r="I18" s="144" t="s">
        <v>1260</v>
      </c>
      <c r="Q18" s="144" t="s">
        <v>1268</v>
      </c>
      <c r="U18" s="144" t="s">
        <v>1273</v>
      </c>
      <c r="Y18" s="144" t="s">
        <v>1278</v>
      </c>
      <c r="AG18" s="143"/>
      <c r="AH18" s="143"/>
      <c r="AI18" s="143"/>
    </row>
    <row r="19" spans="1:35" s="144" customFormat="1" ht="19">
      <c r="A19" s="144" t="s">
        <v>1250</v>
      </c>
      <c r="E19" s="144" t="s">
        <v>1256</v>
      </c>
      <c r="I19" s="144" t="s">
        <v>1261</v>
      </c>
      <c r="M19" s="144" t="s">
        <v>1265</v>
      </c>
      <c r="Q19" s="144" t="s">
        <v>1267</v>
      </c>
      <c r="U19" s="144" t="s">
        <v>1274</v>
      </c>
      <c r="Y19" s="144" t="s">
        <v>1279</v>
      </c>
      <c r="AG19" s="143"/>
      <c r="AH19" s="143"/>
      <c r="AI19" s="143"/>
    </row>
    <row r="20" spans="1:35" s="144" customFormat="1" ht="19">
      <c r="M20" s="144" t="s">
        <v>1266</v>
      </c>
      <c r="AG20" s="143"/>
      <c r="AH20" s="143"/>
      <c r="AI20" s="143"/>
    </row>
    <row r="21" spans="1:35" s="144" customFormat="1" ht="19">
      <c r="A21" s="144" t="s">
        <v>1251</v>
      </c>
      <c r="E21" s="144" t="s">
        <v>1257</v>
      </c>
      <c r="I21" s="144" t="s">
        <v>1262</v>
      </c>
      <c r="Q21" s="144" t="s">
        <v>1269</v>
      </c>
      <c r="U21" s="144" t="s">
        <v>1130</v>
      </c>
      <c r="Y21" s="144" t="s">
        <v>1280</v>
      </c>
      <c r="AG21" s="143"/>
      <c r="AH21" s="143"/>
      <c r="AI21" s="143"/>
    </row>
    <row r="22" spans="1:35" s="144" customFormat="1" ht="19">
      <c r="A22" s="144" t="s">
        <v>1252</v>
      </c>
      <c r="E22" s="144" t="s">
        <v>1258</v>
      </c>
      <c r="I22" s="144" t="s">
        <v>1263</v>
      </c>
      <c r="Q22" s="144" t="s">
        <v>1270</v>
      </c>
      <c r="U22" s="144" t="s">
        <v>1275</v>
      </c>
      <c r="Y22" s="144" t="s">
        <v>1281</v>
      </c>
      <c r="AG22" s="143"/>
      <c r="AH22" s="143"/>
      <c r="AI22" s="143"/>
    </row>
    <row r="23" spans="1:35" s="144" customFormat="1" ht="19">
      <c r="AG23" s="143"/>
      <c r="AH23" s="143"/>
      <c r="AI23" s="143"/>
    </row>
    <row r="24" spans="1:35" s="144" customFormat="1" ht="19">
      <c r="A24" s="144" t="s">
        <v>1253</v>
      </c>
      <c r="E24" s="144" t="s">
        <v>1198</v>
      </c>
      <c r="I24" s="144" t="s">
        <v>1244</v>
      </c>
      <c r="Q24" s="144" t="s">
        <v>1271</v>
      </c>
      <c r="U24" s="144" t="s">
        <v>1276</v>
      </c>
      <c r="Y24" s="144" t="s">
        <v>1282</v>
      </c>
      <c r="AG24" s="143"/>
      <c r="AH24" s="143"/>
      <c r="AI24" s="143"/>
    </row>
    <row r="25" spans="1:35" s="144" customFormat="1" ht="19">
      <c r="A25" s="144" t="s">
        <v>1254</v>
      </c>
      <c r="E25" s="144" t="s">
        <v>1259</v>
      </c>
      <c r="I25" s="144" t="s">
        <v>1264</v>
      </c>
      <c r="Q25" s="144" t="s">
        <v>1272</v>
      </c>
      <c r="U25" s="144" t="s">
        <v>1277</v>
      </c>
      <c r="Y25" s="144" t="s">
        <v>1283</v>
      </c>
      <c r="AG25" s="143"/>
      <c r="AH25" s="143"/>
      <c r="AI25" s="143"/>
    </row>
    <row r="26" spans="1:35" s="144" customFormat="1" ht="19">
      <c r="AG26" s="143"/>
      <c r="AH26" s="143"/>
      <c r="AI26" s="143"/>
    </row>
    <row r="27" spans="1:35" s="144" customFormat="1" ht="19">
      <c r="AG27" s="143"/>
      <c r="AH27" s="143"/>
      <c r="AI27" s="143"/>
    </row>
    <row r="28" spans="1:35" s="144" customFormat="1" ht="19">
      <c r="AG28" s="143"/>
      <c r="AH28" s="143"/>
      <c r="AI28" s="143"/>
    </row>
    <row r="29" spans="1:35" s="142" customFormat="1" ht="19">
      <c r="A29" s="151" t="s">
        <v>3</v>
      </c>
      <c r="B29" s="153">
        <f>AVERAGE(0.6,0.61,0.59)</f>
        <v>0.6</v>
      </c>
      <c r="C29" s="153"/>
      <c r="D29" s="46"/>
      <c r="E29" s="151" t="s">
        <v>3</v>
      </c>
      <c r="F29" s="153">
        <f>AVERAGE(0.42,0.41,0.42)</f>
        <v>0.41666666666666669</v>
      </c>
      <c r="G29" s="208"/>
      <c r="I29" s="151" t="s">
        <v>3</v>
      </c>
      <c r="J29" s="153">
        <f>AVERAGE(1.24,1.08,1.22)</f>
        <v>1.18</v>
      </c>
      <c r="K29" s="208"/>
      <c r="M29" s="151" t="s">
        <v>3</v>
      </c>
      <c r="N29" s="153">
        <v>1.1399999999999999</v>
      </c>
      <c r="O29" s="208"/>
      <c r="Q29" s="153">
        <f>AVERAGE(0.86,0.84,0.85)</f>
        <v>0.85</v>
      </c>
      <c r="R29" s="208"/>
      <c r="S29" s="208"/>
      <c r="U29" s="151" t="s">
        <v>3</v>
      </c>
      <c r="V29" s="153">
        <f>AVERAGE(0.9,0.89,0.9)</f>
        <v>0.89666666666666661</v>
      </c>
      <c r="W29" s="208"/>
      <c r="Y29" s="153">
        <f>AVERAGE(0.93,0.094,0.92)</f>
        <v>0.64800000000000002</v>
      </c>
      <c r="Z29" s="208"/>
      <c r="AA29" s="208"/>
      <c r="AC29" s="153">
        <f>AVERAGE(0.67,0.67,0.72)</f>
        <v>0.68666666666666665</v>
      </c>
      <c r="AD29" s="208"/>
      <c r="AE29" s="208"/>
      <c r="AG29" s="155"/>
      <c r="AH29" s="46"/>
      <c r="AI29" s="46"/>
    </row>
    <row r="30" spans="1:35" s="142" customFormat="1" ht="19">
      <c r="A30" s="227" t="s">
        <v>996</v>
      </c>
      <c r="B30" s="228">
        <f>_xlfn.STDEV.S(0.014,0.018,0.013)</f>
        <v>2.6457513110645899E-3</v>
      </c>
      <c r="C30" s="229"/>
      <c r="D30" s="46"/>
      <c r="E30" s="229" t="s">
        <v>996</v>
      </c>
      <c r="F30" s="228">
        <f>_xlfn.STDEV.S(0.013,0.013,0.014)</f>
        <v>5.7735026918962634E-4</v>
      </c>
      <c r="G30" s="229"/>
      <c r="I30" s="229" t="s">
        <v>996</v>
      </c>
      <c r="J30" s="229">
        <f>_xlfn.STDEV.S(0.014,0.015,0.016)</f>
        <v>1E-3</v>
      </c>
      <c r="K30" s="229"/>
      <c r="M30" s="229" t="s">
        <v>996</v>
      </c>
      <c r="N30" s="229">
        <f>_xlfn.STDEV.S(0.012,0.012,0.011)</f>
        <v>5.7735026918962634E-4</v>
      </c>
      <c r="O30" s="229"/>
      <c r="Q30" s="228">
        <f>_xlfn.STDEV.S(0.012,0.012,0.012)</f>
        <v>2.1245936804851847E-18</v>
      </c>
      <c r="R30" s="229"/>
      <c r="S30" s="229"/>
      <c r="U30" s="229" t="s">
        <v>996</v>
      </c>
      <c r="V30" s="229">
        <f>_xlfn.STDEV.S(0.011,0.011,0.011,0.012)</f>
        <v>5.0000000000000044E-4</v>
      </c>
      <c r="W30" s="229"/>
      <c r="Y30" s="228">
        <f>_xlfn.STDEV.S(0.012,0.012,0.012)</f>
        <v>2.1245936804851847E-18</v>
      </c>
      <c r="Z30" s="229"/>
      <c r="AA30" s="229"/>
      <c r="AB30" s="89"/>
      <c r="AC30" s="228">
        <f>_xlfn.STDEV.S(0.012,0.012,0.012)</f>
        <v>2.1245936804851847E-18</v>
      </c>
      <c r="AD30" s="229"/>
      <c r="AE30" s="229"/>
      <c r="AF30" s="89"/>
      <c r="AG30" s="231"/>
      <c r="AH30" s="46"/>
      <c r="AI30" s="46"/>
    </row>
    <row r="31" spans="1:35" s="144" customFormat="1" ht="19">
      <c r="AB31" s="1"/>
      <c r="AF31" s="1"/>
      <c r="AG31" s="143"/>
      <c r="AH31" s="143"/>
      <c r="AI31" s="143"/>
    </row>
    <row r="32" spans="1:35" s="144" customFormat="1" ht="19">
      <c r="AB32" s="1"/>
      <c r="AF32" s="1"/>
      <c r="AG32" s="286"/>
      <c r="AH32" s="286"/>
      <c r="AI32" s="286"/>
    </row>
    <row r="33" spans="1:35" s="144" customFormat="1" ht="19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AB33" s="1"/>
      <c r="AF33" s="1"/>
      <c r="AG33" s="143"/>
      <c r="AH33" s="143"/>
      <c r="AI33" s="143"/>
    </row>
    <row r="34" spans="1:35" s="144" customFormat="1" ht="19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AB34" s="1"/>
      <c r="AF34" s="1"/>
      <c r="AG34" s="143"/>
      <c r="AH34" s="143"/>
      <c r="AI34" s="143"/>
    </row>
    <row r="35" spans="1:35" s="144" customFormat="1" ht="19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AB35" s="1"/>
      <c r="AF35" s="1"/>
      <c r="AG35" s="143"/>
      <c r="AH35" s="143"/>
      <c r="AI35" s="143"/>
    </row>
    <row r="36" spans="1:35" s="144" customFormat="1" ht="19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AB36" s="1"/>
      <c r="AF36" s="1"/>
      <c r="AG36" s="143"/>
      <c r="AH36" s="143"/>
      <c r="AI36" s="143"/>
    </row>
    <row r="37" spans="1:35" s="144" customFormat="1" ht="19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AB37" s="1"/>
      <c r="AF37" s="1"/>
      <c r="AG37" s="143"/>
      <c r="AH37" s="143"/>
      <c r="AI37" s="143"/>
    </row>
    <row r="38" spans="1:35" s="144" customFormat="1" ht="1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Y38" s="143"/>
      <c r="Z38" s="143"/>
      <c r="AA38" s="143"/>
      <c r="AB38" s="1"/>
      <c r="AC38" s="143"/>
      <c r="AD38" s="143"/>
      <c r="AE38" s="143"/>
      <c r="AF38" s="1"/>
      <c r="AG38" s="143"/>
      <c r="AH38" s="143"/>
      <c r="AI38" s="143"/>
    </row>
    <row r="39" spans="1:35" s="144" customFormat="1" ht="1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Y39" s="143"/>
      <c r="Z39" s="143"/>
      <c r="AA39" s="143"/>
      <c r="AB39" s="1"/>
      <c r="AC39" s="143"/>
      <c r="AD39" s="143"/>
      <c r="AE39" s="143"/>
      <c r="AF39" s="1"/>
      <c r="AG39" s="143"/>
      <c r="AH39" s="143"/>
      <c r="AI39" s="143"/>
    </row>
    <row r="40" spans="1:35" s="144" customFormat="1" ht="1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43"/>
      <c r="M40" s="217"/>
      <c r="N40" s="218"/>
      <c r="O40" s="143"/>
      <c r="P40" s="143"/>
      <c r="Q40" s="218"/>
      <c r="R40" s="143"/>
      <c r="S40" s="143"/>
      <c r="T40" s="143"/>
      <c r="U40" s="217"/>
      <c r="V40" s="218"/>
      <c r="W40" s="143"/>
      <c r="Y40" s="218"/>
      <c r="Z40" s="143"/>
      <c r="AA40" s="143"/>
      <c r="AB40" s="1"/>
      <c r="AC40" s="218"/>
      <c r="AD40" s="143"/>
      <c r="AE40" s="143"/>
      <c r="AF40" s="1"/>
      <c r="AG40" s="143"/>
      <c r="AH40" s="143"/>
      <c r="AI40" s="143"/>
    </row>
    <row r="41" spans="1:35" s="144" customFormat="1" ht="1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Y41" s="143"/>
      <c r="Z41" s="143"/>
      <c r="AA41" s="143"/>
      <c r="AB41" s="1"/>
      <c r="AC41" s="143"/>
      <c r="AD41" s="143"/>
      <c r="AE41" s="143"/>
      <c r="AF41" s="1"/>
      <c r="AG41" s="143"/>
      <c r="AH41" s="143"/>
      <c r="AI41" s="143"/>
    </row>
    <row r="42" spans="1:35" s="142" customFormat="1" ht="1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"/>
      <c r="Y42" s="10"/>
      <c r="Z42" s="10"/>
      <c r="AA42" s="10"/>
      <c r="AB42" s="1"/>
      <c r="AC42" s="10"/>
      <c r="AD42" s="10"/>
      <c r="AE42" s="10"/>
      <c r="AF42" s="89"/>
      <c r="AG42" s="155"/>
      <c r="AH42" s="46"/>
      <c r="AI42" s="46"/>
    </row>
    <row r="43" spans="1:35" s="142" customFormat="1" ht="1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"/>
      <c r="Y43" s="10"/>
      <c r="Z43" s="10"/>
      <c r="AA43" s="10"/>
      <c r="AB43" s="1"/>
      <c r="AC43" s="10"/>
      <c r="AD43" s="10"/>
      <c r="AE43" s="10"/>
      <c r="AF43" s="89"/>
      <c r="AG43" s="231"/>
      <c r="AH43" s="46"/>
      <c r="AI43" s="46"/>
    </row>
    <row r="44" spans="1:35" s="144" customFormat="1" ht="1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"/>
      <c r="Y44" s="10"/>
      <c r="Z44" s="10"/>
      <c r="AA44" s="10"/>
      <c r="AB44" s="1"/>
      <c r="AC44" s="10"/>
      <c r="AD44" s="10"/>
      <c r="AE44" s="10"/>
      <c r="AF44" s="1"/>
      <c r="AG44" s="143"/>
      <c r="AH44" s="143"/>
      <c r="AI44" s="143"/>
    </row>
    <row r="45" spans="1:35" s="144" customFormat="1" ht="1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"/>
      <c r="Y45" s="10"/>
      <c r="Z45" s="10"/>
      <c r="AA45" s="10"/>
      <c r="AB45" s="1"/>
      <c r="AC45" s="10"/>
      <c r="AD45" s="10"/>
      <c r="AE45" s="10"/>
      <c r="AF45" s="1"/>
      <c r="AG45" s="46"/>
      <c r="AH45" s="143"/>
      <c r="AI45" s="143"/>
    </row>
    <row r="46" spans="1:35" s="144" customFormat="1" ht="1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43"/>
      <c r="AH46" s="143"/>
      <c r="AI46" s="143"/>
    </row>
    <row r="47" spans="1:35" s="144" customFormat="1" ht="1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43"/>
      <c r="AH47" s="143"/>
      <c r="AI47" s="143"/>
    </row>
    <row r="48" spans="1:35" s="144" customFormat="1" ht="1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43"/>
      <c r="AH48" s="143"/>
      <c r="AI48" s="143"/>
    </row>
    <row r="49" spans="1:35" s="144" customFormat="1" ht="1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43"/>
      <c r="AH49" s="143"/>
      <c r="AI49" s="143"/>
    </row>
    <row r="50" spans="1:35" s="144" customFormat="1" ht="1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43"/>
      <c r="AH50" s="143"/>
      <c r="AI50" s="143"/>
    </row>
    <row r="51" spans="1:35" s="144" customFormat="1" ht="1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43"/>
      <c r="AH51" s="143"/>
      <c r="AI51" s="143"/>
    </row>
    <row r="52" spans="1:35" s="144" customFormat="1" ht="1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43"/>
      <c r="AH52" s="143"/>
      <c r="AI52" s="143"/>
    </row>
    <row r="53" spans="1:35" s="144" customFormat="1" ht="1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43"/>
      <c r="AH53" s="143"/>
      <c r="AI53" s="143"/>
    </row>
    <row r="54" spans="1:35" s="144" customFormat="1" ht="1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43"/>
      <c r="AH54" s="143"/>
      <c r="AI54" s="143"/>
    </row>
    <row r="55" spans="1:35" s="144" customFormat="1" ht="1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218"/>
      <c r="AH55" s="143"/>
      <c r="AI55" s="143"/>
    </row>
    <row r="56" spans="1:35" s="144" customFormat="1" ht="1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43"/>
      <c r="AH56" s="143"/>
      <c r="AI56" s="143"/>
    </row>
  </sheetData>
  <mergeCells count="9">
    <mergeCell ref="Y17:AA17"/>
    <mergeCell ref="AC17:AE17"/>
    <mergeCell ref="AG32:AI32"/>
    <mergeCell ref="A4:O4"/>
    <mergeCell ref="A14:F14"/>
    <mergeCell ref="G14:O14"/>
    <mergeCell ref="Q4:AE4"/>
    <mergeCell ref="Q14:V14"/>
    <mergeCell ref="X14:AF14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L60"/>
  <sheetViews>
    <sheetView topLeftCell="B12" zoomScale="50" zoomScaleNormal="50" workbookViewId="0">
      <selection activeCell="AN47" sqref="AN47"/>
    </sheetView>
  </sheetViews>
  <sheetFormatPr baseColWidth="10" defaultColWidth="9.1640625" defaultRowHeight="15"/>
  <cols>
    <col min="1" max="1" width="18" style="1" bestFit="1" customWidth="1"/>
    <col min="2" max="2" width="17" style="1" bestFit="1" customWidth="1"/>
    <col min="3" max="5" width="9.1640625" style="1"/>
    <col min="6" max="6" width="10.1640625" style="1" bestFit="1" customWidth="1"/>
    <col min="7" max="9" width="9.1640625" style="1"/>
    <col min="10" max="10" width="9.83203125" style="1" bestFit="1" customWidth="1"/>
    <col min="11" max="13" width="9.1640625" style="1"/>
    <col min="14" max="14" width="10.1640625" style="1" bestFit="1" customWidth="1"/>
    <col min="15" max="16" width="9.1640625" style="1"/>
    <col min="17" max="17" width="17" style="1" bestFit="1" customWidth="1"/>
    <col min="18" max="21" width="9.1640625" style="1"/>
    <col min="22" max="22" width="15" style="1" bestFit="1" customWidth="1"/>
    <col min="23" max="24" width="9.1640625" style="1"/>
    <col min="25" max="25" width="17" style="1" bestFit="1" customWidth="1"/>
    <col min="26" max="28" width="9.1640625" style="1"/>
    <col min="29" max="29" width="17" style="1" bestFit="1" customWidth="1"/>
    <col min="30" max="32" width="9.1640625" style="1"/>
    <col min="33" max="33" width="17" style="10" bestFit="1" customWidth="1"/>
    <col min="34" max="35" width="9.1640625" style="10"/>
    <col min="36" max="16384" width="9.1640625" style="1"/>
  </cols>
  <sheetData>
    <row r="1" spans="1:64" ht="21">
      <c r="A1" s="7" t="s">
        <v>1002</v>
      </c>
      <c r="E1" s="204" t="s">
        <v>1</v>
      </c>
      <c r="F1" s="204"/>
      <c r="G1" s="204"/>
      <c r="H1" s="203"/>
      <c r="N1" s="203"/>
      <c r="O1" s="203"/>
      <c r="P1" s="203"/>
      <c r="T1" s="203"/>
    </row>
    <row r="2" spans="1:64" ht="21">
      <c r="A2" s="205">
        <v>45965</v>
      </c>
    </row>
    <row r="3" spans="1:64" ht="19">
      <c r="A3" s="202"/>
      <c r="AB3" s="144"/>
      <c r="AF3" s="144"/>
    </row>
    <row r="4" spans="1:64" s="144" customFormat="1" ht="19">
      <c r="A4" s="287" t="s">
        <v>2</v>
      </c>
      <c r="B4" s="287"/>
      <c r="C4" s="287"/>
      <c r="D4" s="287"/>
      <c r="E4" s="287"/>
      <c r="F4" s="287"/>
      <c r="G4" s="287"/>
      <c r="H4" s="287"/>
      <c r="I4" s="287"/>
      <c r="J4" s="287"/>
      <c r="K4" s="287"/>
      <c r="L4" s="287"/>
      <c r="M4" s="287"/>
      <c r="N4" s="287"/>
      <c r="O4" s="287"/>
      <c r="Q4" s="287" t="s">
        <v>2</v>
      </c>
      <c r="R4" s="287"/>
      <c r="S4" s="287"/>
      <c r="T4" s="287"/>
      <c r="U4" s="287"/>
      <c r="V4" s="287"/>
      <c r="W4" s="287"/>
      <c r="X4" s="287"/>
      <c r="Y4" s="287"/>
      <c r="Z4" s="287"/>
      <c r="AA4" s="287"/>
      <c r="AB4" s="287"/>
      <c r="AC4" s="287"/>
      <c r="AD4" s="287"/>
      <c r="AE4" s="287"/>
      <c r="AG4" s="46"/>
      <c r="AH4" s="143"/>
      <c r="AI4" s="143"/>
    </row>
    <row r="5" spans="1:64" s="144" customFormat="1" ht="19">
      <c r="C5" s="144" t="s">
        <v>1285</v>
      </c>
      <c r="H5" s="144" t="s">
        <v>1290</v>
      </c>
      <c r="T5" s="144" t="s">
        <v>1292</v>
      </c>
      <c r="Y5" s="144" t="s">
        <v>1298</v>
      </c>
      <c r="AG5" s="143"/>
      <c r="AH5" s="143" t="s">
        <v>1329</v>
      </c>
      <c r="AI5" s="143"/>
      <c r="AO5" s="144" t="s">
        <v>1333</v>
      </c>
    </row>
    <row r="6" spans="1:64" s="144" customFormat="1" ht="19">
      <c r="C6" s="144" t="s">
        <v>1246</v>
      </c>
      <c r="H6" s="144" t="s">
        <v>1291</v>
      </c>
      <c r="T6" s="144" t="s">
        <v>1293</v>
      </c>
      <c r="Y6" s="144" t="s">
        <v>1299</v>
      </c>
      <c r="AG6" s="143"/>
      <c r="AH6" s="143" t="s">
        <v>1330</v>
      </c>
      <c r="AI6" s="143"/>
      <c r="AO6" s="144" t="s">
        <v>1334</v>
      </c>
    </row>
    <row r="7" spans="1:64" s="144" customFormat="1" ht="19">
      <c r="AG7" s="143"/>
      <c r="AH7" s="143"/>
      <c r="AI7" s="143"/>
    </row>
    <row r="8" spans="1:64" s="144" customFormat="1" ht="19">
      <c r="C8" s="144" t="s">
        <v>1286</v>
      </c>
      <c r="T8" s="144" t="s">
        <v>1294</v>
      </c>
      <c r="AG8" s="143"/>
      <c r="AH8" s="143" t="s">
        <v>1331</v>
      </c>
      <c r="AI8" s="143"/>
      <c r="AO8" s="144" t="s">
        <v>1335</v>
      </c>
    </row>
    <row r="9" spans="1:64" s="144" customFormat="1" ht="19">
      <c r="C9" s="144" t="s">
        <v>1287</v>
      </c>
      <c r="T9" s="144" t="s">
        <v>1295</v>
      </c>
      <c r="AG9" s="143"/>
      <c r="AH9" s="143" t="s">
        <v>1330</v>
      </c>
      <c r="AI9" s="143"/>
      <c r="AO9" s="144" t="s">
        <v>1336</v>
      </c>
    </row>
    <row r="10" spans="1:64" s="144" customFormat="1" ht="19">
      <c r="AG10" s="143"/>
      <c r="AH10" s="143"/>
      <c r="AI10" s="143"/>
    </row>
    <row r="11" spans="1:64" s="144" customFormat="1" ht="19">
      <c r="C11" s="144" t="s">
        <v>1288</v>
      </c>
      <c r="T11" s="144" t="s">
        <v>1296</v>
      </c>
      <c r="AG11" s="143"/>
      <c r="AH11" s="143" t="s">
        <v>1107</v>
      </c>
      <c r="AI11" s="143"/>
      <c r="AO11" s="144" t="s">
        <v>1164</v>
      </c>
    </row>
    <row r="12" spans="1:64" s="144" customFormat="1" ht="19">
      <c r="C12" s="144" t="s">
        <v>1289</v>
      </c>
      <c r="T12" s="144" t="s">
        <v>1297</v>
      </c>
      <c r="AG12" s="143"/>
      <c r="AH12" s="143" t="s">
        <v>1332</v>
      </c>
      <c r="AI12" s="143"/>
      <c r="AO12" s="144" t="s">
        <v>1336</v>
      </c>
    </row>
    <row r="13" spans="1:64" s="144" customFormat="1" ht="19">
      <c r="AG13" s="143"/>
      <c r="AH13" s="143"/>
      <c r="AI13" s="143"/>
    </row>
    <row r="14" spans="1:64" s="142" customFormat="1" ht="19">
      <c r="A14" s="288" t="s">
        <v>3</v>
      </c>
      <c r="B14" s="288"/>
      <c r="C14" s="288"/>
      <c r="D14" s="288"/>
      <c r="E14" s="288"/>
      <c r="F14" s="288"/>
      <c r="G14" s="289">
        <f>AVERAGE(1.55,1.56,1.57,1.57)</f>
        <v>1.5625000000000002</v>
      </c>
      <c r="H14" s="289"/>
      <c r="I14" s="289"/>
      <c r="J14" s="289"/>
      <c r="K14" s="289"/>
      <c r="L14" s="289"/>
      <c r="M14" s="289"/>
      <c r="N14" s="289"/>
      <c r="O14" s="289"/>
      <c r="Q14" s="288" t="s">
        <v>3</v>
      </c>
      <c r="R14" s="288"/>
      <c r="S14" s="288"/>
      <c r="T14" s="288"/>
      <c r="U14" s="288"/>
      <c r="V14" s="288"/>
      <c r="W14" s="208"/>
      <c r="X14" s="289">
        <f>AVERAGE(1.61,1.61,1.6,1.59)</f>
        <v>1.6025</v>
      </c>
      <c r="Y14" s="289"/>
      <c r="Z14" s="289"/>
      <c r="AA14" s="289"/>
      <c r="AB14" s="289"/>
      <c r="AC14" s="289"/>
      <c r="AD14" s="289"/>
      <c r="AE14" s="289"/>
      <c r="AF14" s="289"/>
      <c r="AG14" s="162"/>
      <c r="AH14" s="241"/>
      <c r="AI14" s="241">
        <f>AVERAGE(1.45,1.45,1.46)</f>
        <v>1.4533333333333331</v>
      </c>
      <c r="AJ14" s="241"/>
      <c r="AK14" s="241"/>
      <c r="AL14" s="241"/>
      <c r="AM14" s="208"/>
      <c r="AN14" s="242"/>
      <c r="AO14" s="240"/>
      <c r="AP14" s="240">
        <f>AVERAGE(1.51,1.5,1.5)</f>
        <v>1.5033333333333332</v>
      </c>
      <c r="AQ14" s="240"/>
      <c r="AR14" s="240"/>
      <c r="AS14" s="240"/>
      <c r="AT14" s="240"/>
      <c r="AU14" s="240"/>
      <c r="AV14" s="240"/>
      <c r="AW14" s="288" t="s">
        <v>3</v>
      </c>
      <c r="AX14" s="288"/>
      <c r="AY14" s="288"/>
      <c r="AZ14" s="288"/>
      <c r="BA14" s="288"/>
      <c r="BB14" s="288"/>
      <c r="BC14" s="208"/>
      <c r="BD14" s="289">
        <f>AVERAGE(1.57,1.55,1.55,1.56)</f>
        <v>1.5575000000000001</v>
      </c>
      <c r="BE14" s="289"/>
      <c r="BF14" s="289"/>
      <c r="BG14" s="289"/>
      <c r="BH14" s="289"/>
      <c r="BI14" s="289"/>
      <c r="BJ14" s="289"/>
      <c r="BK14" s="289"/>
      <c r="BL14" s="289"/>
    </row>
    <row r="15" spans="1:64" s="144" customFormat="1" ht="19">
      <c r="AG15" s="143"/>
      <c r="AH15" s="143"/>
      <c r="AI15" s="143"/>
    </row>
    <row r="16" spans="1:64" s="211" customFormat="1" ht="19">
      <c r="F16" s="211">
        <v>1.56</v>
      </c>
      <c r="L16" s="212" t="s">
        <v>39</v>
      </c>
    </row>
    <row r="17" spans="1:63" s="144" customFormat="1" ht="19">
      <c r="A17" s="207"/>
      <c r="B17" s="208" t="s">
        <v>1234</v>
      </c>
      <c r="C17" s="208"/>
      <c r="D17" s="143"/>
      <c r="E17" s="207"/>
      <c r="F17" s="208" t="s">
        <v>1235</v>
      </c>
      <c r="G17" s="207"/>
      <c r="I17" s="207"/>
      <c r="J17" s="208" t="s">
        <v>1284</v>
      </c>
      <c r="K17" s="207"/>
      <c r="M17" s="207"/>
      <c r="N17" s="208" t="s">
        <v>999</v>
      </c>
      <c r="O17" s="207"/>
      <c r="Q17" s="235" t="s">
        <v>1000</v>
      </c>
      <c r="R17" s="207"/>
      <c r="S17" s="207"/>
      <c r="U17" s="207"/>
      <c r="V17" s="208" t="s">
        <v>1001</v>
      </c>
      <c r="W17" s="207"/>
      <c r="Y17" s="287" t="s">
        <v>5</v>
      </c>
      <c r="Z17" s="287"/>
      <c r="AA17" s="287"/>
      <c r="AC17" s="287">
        <v>0.25</v>
      </c>
      <c r="AD17" s="287"/>
      <c r="AE17" s="287"/>
      <c r="AG17" s="287">
        <v>10</v>
      </c>
      <c r="AH17" s="287"/>
      <c r="AI17" s="287"/>
      <c r="AK17" s="287">
        <v>40</v>
      </c>
      <c r="AL17" s="287"/>
      <c r="AM17" s="287"/>
      <c r="AO17" s="287">
        <v>50</v>
      </c>
      <c r="AP17" s="287"/>
      <c r="AQ17" s="287"/>
      <c r="AS17" s="287">
        <v>10</v>
      </c>
      <c r="AT17" s="287"/>
      <c r="AU17" s="287"/>
      <c r="AW17" s="287">
        <v>20</v>
      </c>
      <c r="AX17" s="287"/>
      <c r="AY17" s="287"/>
      <c r="BA17" s="287">
        <v>30</v>
      </c>
      <c r="BB17" s="287"/>
      <c r="BC17" s="287"/>
      <c r="BE17" s="287">
        <v>40</v>
      </c>
      <c r="BF17" s="287"/>
      <c r="BG17" s="287"/>
      <c r="BI17" s="287">
        <v>50</v>
      </c>
      <c r="BJ17" s="287"/>
      <c r="BK17" s="287"/>
    </row>
    <row r="18" spans="1:63" s="144" customFormat="1" ht="19">
      <c r="A18" s="144" t="s">
        <v>1285</v>
      </c>
      <c r="E18" s="144" t="s">
        <v>1303</v>
      </c>
      <c r="I18" s="144" t="s">
        <v>1305</v>
      </c>
      <c r="M18" s="144" t="s">
        <v>1309</v>
      </c>
      <c r="Q18" s="144" t="s">
        <v>1313</v>
      </c>
      <c r="U18" s="144" t="s">
        <v>1257</v>
      </c>
      <c r="Y18" s="144" t="s">
        <v>1094</v>
      </c>
      <c r="AC18" s="144" t="s">
        <v>1325</v>
      </c>
      <c r="AG18" s="144" t="s">
        <v>1100</v>
      </c>
      <c r="AK18" s="144" t="s">
        <v>1360</v>
      </c>
      <c r="AO18" s="144" t="s">
        <v>1365</v>
      </c>
    </row>
    <row r="19" spans="1:63" s="144" customFormat="1" ht="19">
      <c r="A19" s="144" t="s">
        <v>1144</v>
      </c>
      <c r="E19" s="144" t="s">
        <v>1027</v>
      </c>
      <c r="I19" s="144" t="s">
        <v>1306</v>
      </c>
      <c r="M19" s="144" t="s">
        <v>1310</v>
      </c>
      <c r="Q19" s="144" t="s">
        <v>1314</v>
      </c>
      <c r="U19" s="144" t="s">
        <v>1166</v>
      </c>
      <c r="Y19" s="144" t="s">
        <v>1319</v>
      </c>
      <c r="AC19" s="144" t="s">
        <v>1328</v>
      </c>
      <c r="AG19" s="144" t="s">
        <v>1353</v>
      </c>
      <c r="AK19" s="144" t="s">
        <v>1361</v>
      </c>
      <c r="AO19" s="144" t="s">
        <v>1366</v>
      </c>
    </row>
    <row r="20" spans="1:63" s="144" customFormat="1" ht="19"/>
    <row r="21" spans="1:63" s="144" customFormat="1" ht="19">
      <c r="A21" s="144" t="s">
        <v>1300</v>
      </c>
      <c r="E21" s="144" t="s">
        <v>1171</v>
      </c>
      <c r="I21" s="144" t="s">
        <v>1307</v>
      </c>
      <c r="M21" s="144" t="s">
        <v>1311</v>
      </c>
      <c r="Q21" s="144" t="s">
        <v>1315</v>
      </c>
      <c r="U21" s="144" t="s">
        <v>1317</v>
      </c>
      <c r="Y21" s="144" t="s">
        <v>1204</v>
      </c>
      <c r="AC21" s="144" t="s">
        <v>1324</v>
      </c>
      <c r="AG21" s="144" t="s">
        <v>1354</v>
      </c>
      <c r="AK21" s="144" t="s">
        <v>1358</v>
      </c>
      <c r="AO21" s="144" t="s">
        <v>1202</v>
      </c>
    </row>
    <row r="22" spans="1:63" s="144" customFormat="1" ht="19">
      <c r="A22" s="144" t="s">
        <v>1027</v>
      </c>
      <c r="E22" s="144" t="s">
        <v>1027</v>
      </c>
      <c r="I22" s="144" t="s">
        <v>1308</v>
      </c>
      <c r="M22" s="144" t="s">
        <v>1210</v>
      </c>
      <c r="Q22" s="144" t="s">
        <v>1316</v>
      </c>
      <c r="U22" s="144" t="s">
        <v>1223</v>
      </c>
      <c r="Y22" s="144" t="s">
        <v>1320</v>
      </c>
      <c r="AC22" s="144" t="s">
        <v>1322</v>
      </c>
      <c r="AG22" s="144" t="s">
        <v>1355</v>
      </c>
      <c r="AK22" s="144" t="s">
        <v>1359</v>
      </c>
      <c r="AO22" s="144" t="s">
        <v>1362</v>
      </c>
    </row>
    <row r="23" spans="1:63" s="144" customFormat="1" ht="19"/>
    <row r="24" spans="1:63" s="144" customFormat="1" ht="19">
      <c r="A24" s="144" t="s">
        <v>1301</v>
      </c>
      <c r="E24" s="144" t="s">
        <v>1118</v>
      </c>
      <c r="I24" s="144" t="s">
        <v>1269</v>
      </c>
      <c r="M24" s="144" t="s">
        <v>1312</v>
      </c>
      <c r="Q24" s="144" t="s">
        <v>1220</v>
      </c>
      <c r="U24" s="144" t="s">
        <v>1318</v>
      </c>
      <c r="Y24" s="144" t="s">
        <v>1321</v>
      </c>
      <c r="AC24" s="144" t="s">
        <v>1325</v>
      </c>
      <c r="AG24" s="144" t="s">
        <v>1356</v>
      </c>
      <c r="AK24" s="144" t="s">
        <v>1357</v>
      </c>
      <c r="AO24" s="144" t="s">
        <v>1363</v>
      </c>
    </row>
    <row r="25" spans="1:63" s="144" customFormat="1" ht="19">
      <c r="A25" s="144" t="s">
        <v>1302</v>
      </c>
      <c r="E25" s="144" t="s">
        <v>1304</v>
      </c>
      <c r="I25" s="144" t="s">
        <v>1140</v>
      </c>
      <c r="M25" s="144" t="s">
        <v>1136</v>
      </c>
      <c r="Q25" s="144" t="s">
        <v>1316</v>
      </c>
      <c r="U25" s="144" t="s">
        <v>1168</v>
      </c>
      <c r="Y25" s="144" t="s">
        <v>1322</v>
      </c>
      <c r="AC25" s="144" t="s">
        <v>1326</v>
      </c>
      <c r="AG25" s="144" t="s">
        <v>1306</v>
      </c>
      <c r="AK25" s="144" t="s">
        <v>1267</v>
      </c>
      <c r="AO25" s="144" t="s">
        <v>1364</v>
      </c>
    </row>
    <row r="26" spans="1:63" s="144" customFormat="1" ht="19"/>
    <row r="27" spans="1:63" s="144" customFormat="1" ht="19">
      <c r="AC27" s="144" t="s">
        <v>1327</v>
      </c>
    </row>
    <row r="28" spans="1:63" s="144" customFormat="1" ht="19">
      <c r="AC28" s="144" t="s">
        <v>983</v>
      </c>
    </row>
    <row r="29" spans="1:63" s="142" customFormat="1" ht="19">
      <c r="A29" s="236" t="s">
        <v>3</v>
      </c>
      <c r="B29" s="237">
        <f>AVERAGE(0.52,0.53,0.52)</f>
        <v>0.52333333333333332</v>
      </c>
      <c r="C29" s="237"/>
      <c r="D29" s="46"/>
      <c r="E29" s="236" t="s">
        <v>3</v>
      </c>
      <c r="F29" s="237">
        <v>0.53</v>
      </c>
      <c r="G29" s="208"/>
      <c r="I29" s="236" t="s">
        <v>3</v>
      </c>
      <c r="J29" s="237">
        <f>AVERAGE(0.76,0.76,0.72)</f>
        <v>0.7466666666666667</v>
      </c>
      <c r="K29" s="208"/>
      <c r="M29" s="236" t="s">
        <v>3</v>
      </c>
      <c r="N29" s="237">
        <f>AVERAGE(0.62,0.61,0.63)</f>
        <v>0.62</v>
      </c>
      <c r="O29" s="208"/>
      <c r="Q29" s="237">
        <f>AVERAGE(0.57,0.56,0.56)</f>
        <v>0.56333333333333335</v>
      </c>
      <c r="R29" s="208"/>
      <c r="S29" s="208"/>
      <c r="U29" s="236" t="s">
        <v>3</v>
      </c>
      <c r="V29" s="237">
        <f>AVERAGE(0.64,0.6,0.65)</f>
        <v>0.63</v>
      </c>
      <c r="W29" s="208"/>
      <c r="Y29" s="237">
        <f>AVERAGE(0.78,0.79,0.78)</f>
        <v>0.78333333333333333</v>
      </c>
      <c r="Z29" s="208"/>
      <c r="AA29" s="208"/>
      <c r="AC29" s="237">
        <f>AVERAGE(0.79,0.78,0.84)</f>
        <v>0.80333333333333334</v>
      </c>
      <c r="AD29" s="208"/>
      <c r="AE29" s="208"/>
      <c r="AG29" s="237">
        <f>AVERAGE(0.75,0.74,0.76)</f>
        <v>0.75</v>
      </c>
      <c r="AH29" s="208"/>
      <c r="AI29" s="208"/>
      <c r="AK29" s="237">
        <f>AVERAGE(0.85,0.85,0.86)</f>
        <v>0.85333333333333339</v>
      </c>
      <c r="AL29" s="208"/>
      <c r="AM29" s="208"/>
      <c r="AO29" s="237">
        <f>AVERAGE(0.83,0.83,0.83)</f>
        <v>0.83</v>
      </c>
      <c r="AP29" s="208"/>
      <c r="AQ29" s="208"/>
      <c r="AS29" s="237">
        <f>AVERAGE(0.67,0.67,0.72)</f>
        <v>0.68666666666666665</v>
      </c>
      <c r="AT29" s="208"/>
      <c r="AU29" s="208"/>
      <c r="AW29" s="237">
        <f>AVERAGE(0.67,0.67,0.72)</f>
        <v>0.68666666666666665</v>
      </c>
      <c r="AX29" s="208"/>
      <c r="AY29" s="208"/>
      <c r="BA29" s="237">
        <f>AVERAGE(0.67,0.67,0.72)</f>
        <v>0.68666666666666665</v>
      </c>
      <c r="BB29" s="208"/>
      <c r="BC29" s="208"/>
      <c r="BE29" s="237">
        <f>AVERAGE(0.67,0.67,0.72)</f>
        <v>0.68666666666666665</v>
      </c>
      <c r="BF29" s="208"/>
      <c r="BG29" s="208"/>
      <c r="BI29" s="237">
        <f>AVERAGE(0.67,0.67,0.72)</f>
        <v>0.68666666666666665</v>
      </c>
      <c r="BJ29" s="208"/>
      <c r="BK29" s="208"/>
    </row>
    <row r="30" spans="1:63" s="142" customFormat="1" ht="19">
      <c r="A30" s="227" t="s">
        <v>996</v>
      </c>
      <c r="B30" s="239">
        <f>_xlfn.STDEV.S(0.011,0.011,0.012)</f>
        <v>5.7735026918962634E-4</v>
      </c>
      <c r="C30" s="229"/>
      <c r="D30" s="46"/>
      <c r="E30" s="229" t="s">
        <v>996</v>
      </c>
      <c r="F30" s="239">
        <f>_xlfn.STDEV.S(0.011,0.011,0.012)</f>
        <v>5.7735026918962634E-4</v>
      </c>
      <c r="G30" s="229"/>
      <c r="I30" s="229" t="s">
        <v>996</v>
      </c>
      <c r="J30" s="239">
        <f>_xlfn.STDEV.S(0.012,0.012,0.011)</f>
        <v>5.7735026918962634E-4</v>
      </c>
      <c r="K30" s="229"/>
      <c r="M30" s="229" t="s">
        <v>996</v>
      </c>
      <c r="N30" s="229">
        <v>0</v>
      </c>
      <c r="O30" s="229"/>
      <c r="Q30" s="228">
        <f>_xlfn.STDEV.S(0.012,0.012,0.012)</f>
        <v>2.1245936804851847E-18</v>
      </c>
      <c r="R30" s="229"/>
      <c r="S30" s="229"/>
      <c r="U30" s="229" t="s">
        <v>996</v>
      </c>
      <c r="V30" s="239">
        <f>_xlfn.STDEV.S(0.011,0.011,0.012)</f>
        <v>5.7735026918962634E-4</v>
      </c>
      <c r="W30" s="229"/>
      <c r="Y30" s="228">
        <f>_xlfn.STDEV.S(0.011,0.012,0.013)</f>
        <v>1E-3</v>
      </c>
      <c r="Z30" s="229"/>
      <c r="AA30" s="229"/>
      <c r="AB30" s="89"/>
      <c r="AC30" s="228">
        <f>_xlfn.STDEV.S(0.012,0.012,0.012)</f>
        <v>2.1245936804851847E-18</v>
      </c>
      <c r="AD30" s="229"/>
      <c r="AE30" s="229"/>
      <c r="AF30" s="89"/>
      <c r="AG30" s="228">
        <f>_xlfn.STDEV.S(0.012,0.012,0.012)</f>
        <v>2.1245936804851847E-18</v>
      </c>
      <c r="AH30" s="229"/>
      <c r="AI30" s="229"/>
      <c r="AK30" s="228">
        <f>_xlfn.STDEV.S(0.012,0.012,0.012)</f>
        <v>2.1245936804851847E-18</v>
      </c>
      <c r="AL30" s="229"/>
      <c r="AM30" s="229"/>
      <c r="AO30" s="228">
        <f>_xlfn.STDEV.S(0.012,0.012,0.012)</f>
        <v>2.1245936804851847E-18</v>
      </c>
      <c r="AP30" s="229"/>
      <c r="AQ30" s="229"/>
      <c r="AS30" s="228">
        <f>_xlfn.STDEV.S(0.012,0.012,0.012)</f>
        <v>2.1245936804851847E-18</v>
      </c>
      <c r="AT30" s="229"/>
      <c r="AU30" s="229"/>
      <c r="AW30" s="228">
        <f>_xlfn.STDEV.S(0.012,0.012,0.012)</f>
        <v>2.1245936804851847E-18</v>
      </c>
      <c r="AX30" s="229"/>
      <c r="AY30" s="229"/>
      <c r="BA30" s="228">
        <f>_xlfn.STDEV.S(0.012,0.012,0.012)</f>
        <v>2.1245936804851847E-18</v>
      </c>
      <c r="BB30" s="229"/>
      <c r="BC30" s="229"/>
      <c r="BE30" s="228">
        <f>_xlfn.STDEV.S(0.012,0.012,0.012)</f>
        <v>2.1245936804851847E-18</v>
      </c>
      <c r="BF30" s="229"/>
      <c r="BG30" s="229"/>
      <c r="BI30" s="228">
        <f>_xlfn.STDEV.S(0.012,0.012,0.012)</f>
        <v>2.1245936804851847E-18</v>
      </c>
      <c r="BJ30" s="229"/>
      <c r="BK30" s="229"/>
    </row>
    <row r="31" spans="1:63" s="144" customFormat="1" ht="19">
      <c r="A31" s="211"/>
      <c r="B31" s="211"/>
      <c r="C31" s="211"/>
      <c r="D31" s="211"/>
      <c r="E31" s="211"/>
      <c r="F31" s="211"/>
      <c r="G31" s="211"/>
      <c r="H31" s="211"/>
      <c r="I31" s="211"/>
      <c r="J31" s="212" t="s">
        <v>41</v>
      </c>
      <c r="K31" s="211"/>
      <c r="L31" s="211"/>
      <c r="M31" s="211"/>
      <c r="N31" s="211"/>
      <c r="O31" s="211"/>
      <c r="P31" s="211"/>
      <c r="Q31" s="211"/>
      <c r="R31" s="211"/>
      <c r="S31" s="211"/>
      <c r="T31" s="211"/>
      <c r="U31" s="211"/>
      <c r="V31" s="211"/>
      <c r="W31" s="211"/>
      <c r="Y31" s="211"/>
      <c r="Z31" s="211"/>
      <c r="AA31" s="211"/>
      <c r="AB31" s="1"/>
      <c r="AC31" s="211"/>
      <c r="AD31" s="211"/>
      <c r="AE31" s="211"/>
      <c r="AF31" s="1"/>
      <c r="AG31" s="211"/>
      <c r="AH31" s="211"/>
      <c r="AI31" s="211"/>
      <c r="AK31" s="211"/>
      <c r="AL31" s="211"/>
      <c r="AM31" s="211"/>
      <c r="AO31" s="211"/>
      <c r="AP31" s="211"/>
      <c r="AQ31" s="211"/>
      <c r="AS31" s="211"/>
      <c r="AT31" s="211"/>
      <c r="AU31" s="211"/>
      <c r="AW31" s="211"/>
      <c r="AX31" s="211"/>
      <c r="AY31" s="211"/>
      <c r="BA31" s="211"/>
      <c r="BB31" s="211"/>
      <c r="BC31" s="211"/>
      <c r="BE31" s="211"/>
      <c r="BF31" s="211"/>
      <c r="BG31" s="211"/>
      <c r="BI31" s="211"/>
      <c r="BJ31" s="211"/>
      <c r="BK31" s="211"/>
    </row>
    <row r="32" spans="1:63" s="144" customFormat="1" ht="19">
      <c r="A32" s="287" t="s">
        <v>1234</v>
      </c>
      <c r="B32" s="287"/>
      <c r="C32" s="287"/>
      <c r="D32" s="143"/>
      <c r="E32" s="207"/>
      <c r="F32" s="208" t="s">
        <v>1235</v>
      </c>
      <c r="G32" s="207"/>
      <c r="I32" s="207"/>
      <c r="J32" s="208" t="s">
        <v>1284</v>
      </c>
      <c r="K32" s="207"/>
      <c r="M32" s="207"/>
      <c r="N32" s="208" t="s">
        <v>999</v>
      </c>
      <c r="O32" s="207"/>
      <c r="Q32" s="287" t="s">
        <v>1000</v>
      </c>
      <c r="R32" s="287"/>
      <c r="S32" s="287"/>
      <c r="U32" s="207"/>
      <c r="V32" s="208" t="s">
        <v>1001</v>
      </c>
      <c r="W32" s="207"/>
      <c r="Y32" s="287" t="s">
        <v>5</v>
      </c>
      <c r="Z32" s="287"/>
      <c r="AA32" s="287"/>
      <c r="AB32" s="1"/>
      <c r="AC32" s="287" t="s">
        <v>4</v>
      </c>
      <c r="AD32" s="287"/>
      <c r="AE32" s="287"/>
      <c r="AF32" s="1"/>
      <c r="AG32" s="287" t="s">
        <v>893</v>
      </c>
      <c r="AH32" s="287"/>
      <c r="AI32" s="287"/>
      <c r="AK32" s="287" t="s">
        <v>1237</v>
      </c>
      <c r="AL32" s="287"/>
      <c r="AM32" s="287"/>
      <c r="AO32" s="287">
        <v>50</v>
      </c>
      <c r="AP32" s="287"/>
      <c r="AQ32" s="287"/>
      <c r="AS32" s="287" t="s">
        <v>1237</v>
      </c>
      <c r="AT32" s="287"/>
      <c r="AU32" s="287"/>
      <c r="AW32" s="287" t="s">
        <v>1237</v>
      </c>
      <c r="AX32" s="287"/>
      <c r="AY32" s="287"/>
      <c r="BA32" s="287" t="s">
        <v>1237</v>
      </c>
      <c r="BB32" s="287"/>
      <c r="BC32" s="287"/>
      <c r="BE32" s="287" t="s">
        <v>1237</v>
      </c>
      <c r="BF32" s="287"/>
      <c r="BG32" s="287"/>
      <c r="BI32" s="287" t="s">
        <v>1237</v>
      </c>
      <c r="BJ32" s="287"/>
      <c r="BK32" s="287"/>
    </row>
    <row r="33" spans="1:63" s="144" customFormat="1" ht="19">
      <c r="A33" s="144" t="s">
        <v>1093</v>
      </c>
      <c r="E33" s="144" t="s">
        <v>1200</v>
      </c>
      <c r="I33" s="144" t="s">
        <v>1339</v>
      </c>
      <c r="M33" s="144" t="s">
        <v>1290</v>
      </c>
      <c r="Q33" s="144" t="s">
        <v>1161</v>
      </c>
      <c r="U33" s="144" t="s">
        <v>1351</v>
      </c>
      <c r="Y33" s="144" t="s">
        <v>1370</v>
      </c>
      <c r="AB33" s="1"/>
      <c r="AC33" s="144" t="s">
        <v>1262</v>
      </c>
      <c r="AF33" s="1"/>
      <c r="AG33" s="144" t="s">
        <v>1174</v>
      </c>
      <c r="AK33" s="144" t="s">
        <v>1317</v>
      </c>
    </row>
    <row r="34" spans="1:63" s="144" customFormat="1" ht="19">
      <c r="A34" s="144" t="s">
        <v>1163</v>
      </c>
      <c r="E34" s="144" t="s">
        <v>1338</v>
      </c>
      <c r="I34" s="144" t="s">
        <v>1340</v>
      </c>
      <c r="M34" s="144" t="s">
        <v>1344</v>
      </c>
      <c r="Q34" s="144" t="s">
        <v>1347</v>
      </c>
      <c r="U34" s="144" t="s">
        <v>1146</v>
      </c>
      <c r="Y34" s="144" t="s">
        <v>1371</v>
      </c>
      <c r="AB34" s="1"/>
      <c r="AC34" s="144" t="s">
        <v>1304</v>
      </c>
      <c r="AF34" s="1"/>
      <c r="AG34" s="144" t="s">
        <v>1168</v>
      </c>
      <c r="AK34" s="144" t="s">
        <v>1326</v>
      </c>
    </row>
    <row r="35" spans="1:63" s="144" customFormat="1" ht="19">
      <c r="AB35" s="1"/>
      <c r="AF35" s="1"/>
    </row>
    <row r="36" spans="1:63" s="144" customFormat="1" ht="19">
      <c r="A36" s="144" t="s">
        <v>1186</v>
      </c>
      <c r="E36" s="144" t="s">
        <v>1323</v>
      </c>
      <c r="I36" s="144" t="s">
        <v>1282</v>
      </c>
      <c r="M36" s="144" t="s">
        <v>1098</v>
      </c>
      <c r="Q36" s="144" t="s">
        <v>1348</v>
      </c>
      <c r="U36" s="144" t="s">
        <v>1139</v>
      </c>
      <c r="Y36" s="144" t="s">
        <v>1372</v>
      </c>
      <c r="AB36" s="1"/>
      <c r="AC36" s="144" t="s">
        <v>1352</v>
      </c>
      <c r="AF36" s="1"/>
      <c r="AG36" s="144" t="s">
        <v>1242</v>
      </c>
      <c r="AK36" s="144" t="s">
        <v>1368</v>
      </c>
    </row>
    <row r="37" spans="1:63" s="144" customFormat="1" ht="19">
      <c r="A37" s="144" t="s">
        <v>1163</v>
      </c>
      <c r="E37" s="144" t="s">
        <v>1162</v>
      </c>
      <c r="I37" s="144" t="s">
        <v>1341</v>
      </c>
      <c r="M37" s="144" t="s">
        <v>1340</v>
      </c>
      <c r="Q37" s="144" t="s">
        <v>1349</v>
      </c>
      <c r="U37" s="144" t="s">
        <v>1148</v>
      </c>
      <c r="Y37" s="144" t="s">
        <v>1132</v>
      </c>
      <c r="AB37" s="1"/>
      <c r="AC37" s="144" t="s">
        <v>1346</v>
      </c>
      <c r="AF37" s="1"/>
      <c r="AG37" s="144" t="s">
        <v>1169</v>
      </c>
      <c r="AK37" s="144" t="s">
        <v>1369</v>
      </c>
    </row>
    <row r="38" spans="1:63" s="144" customFormat="1" ht="19">
      <c r="AB38" s="1"/>
      <c r="AF38" s="1"/>
    </row>
    <row r="39" spans="1:63" s="144" customFormat="1" ht="19">
      <c r="A39" s="144" t="s">
        <v>1298</v>
      </c>
      <c r="E39" s="144" t="s">
        <v>1197</v>
      </c>
      <c r="I39" s="144" t="s">
        <v>1342</v>
      </c>
      <c r="M39" s="144" t="s">
        <v>1345</v>
      </c>
      <c r="Q39" s="144" t="s">
        <v>1350</v>
      </c>
      <c r="U39" s="144" t="s">
        <v>1285</v>
      </c>
      <c r="Y39" s="144" t="s">
        <v>1202</v>
      </c>
      <c r="AB39" s="1"/>
      <c r="AC39" s="144" t="s">
        <v>1303</v>
      </c>
      <c r="AF39" s="1"/>
      <c r="AG39" s="144" t="s">
        <v>1367</v>
      </c>
    </row>
    <row r="40" spans="1:63" s="144" customFormat="1" ht="19">
      <c r="A40" s="144" t="s">
        <v>1337</v>
      </c>
      <c r="E40" s="144" t="s">
        <v>1338</v>
      </c>
      <c r="I40" s="144" t="s">
        <v>1343</v>
      </c>
      <c r="M40" s="144" t="s">
        <v>1346</v>
      </c>
      <c r="Q40" s="144" t="s">
        <v>1347</v>
      </c>
      <c r="U40" s="144" t="s">
        <v>1146</v>
      </c>
      <c r="Y40" s="144" t="s">
        <v>1132</v>
      </c>
      <c r="AB40" s="1"/>
      <c r="AC40" s="144" t="s">
        <v>1346</v>
      </c>
      <c r="AF40" s="1"/>
      <c r="AG40" s="144" t="s">
        <v>1134</v>
      </c>
    </row>
    <row r="41" spans="1:63" s="144" customFormat="1" ht="19">
      <c r="AB41" s="1"/>
      <c r="AF41" s="1"/>
    </row>
    <row r="42" spans="1:63" s="142" customFormat="1" ht="19">
      <c r="A42" s="236" t="s">
        <v>3</v>
      </c>
      <c r="B42" s="237">
        <f>AVERAGE(0.39,0.39,0.38)</f>
        <v>0.38666666666666671</v>
      </c>
      <c r="C42" s="237"/>
      <c r="D42" s="46"/>
      <c r="E42" s="236" t="s">
        <v>3</v>
      </c>
      <c r="F42" s="237">
        <f>AVERAGE(0.44,0.43,0.44)</f>
        <v>0.4366666666666667</v>
      </c>
      <c r="G42" s="208"/>
      <c r="I42" s="236" t="s">
        <v>3</v>
      </c>
      <c r="J42" s="237">
        <f>AVERAGE(0.46,0.45,0.48)</f>
        <v>0.46333333333333337</v>
      </c>
      <c r="K42" s="208"/>
      <c r="M42" s="236" t="s">
        <v>3</v>
      </c>
      <c r="N42" s="237">
        <f>AVERAGE(0.44,0.46,0.47)</f>
        <v>0.45666666666666672</v>
      </c>
      <c r="O42" s="208"/>
      <c r="Q42" s="237">
        <f>AVERAGE(0.39,0.38,0.39)</f>
        <v>0.38666666666666671</v>
      </c>
      <c r="R42" s="208"/>
      <c r="S42" s="208"/>
      <c r="U42" s="236" t="s">
        <v>3</v>
      </c>
      <c r="V42" s="237">
        <f>AVERAGE(0.34,0.395,0.44)</f>
        <v>0.39166666666666666</v>
      </c>
      <c r="W42" s="208"/>
      <c r="Y42" s="237">
        <f>AVERAGE(0.6,0.6,0.63)</f>
        <v>0.61</v>
      </c>
      <c r="Z42" s="208"/>
      <c r="AA42" s="208"/>
      <c r="AB42" s="89"/>
      <c r="AC42" s="237">
        <f>AVERAGE(0.53,0.47,0.47)</f>
        <v>0.49</v>
      </c>
      <c r="AD42" s="208"/>
      <c r="AE42" s="208"/>
      <c r="AF42" s="89"/>
      <c r="AG42" s="237">
        <f>AVERAGE(0.65,0.64,0.62)</f>
        <v>0.63666666666666671</v>
      </c>
      <c r="AH42" s="208"/>
      <c r="AI42" s="208"/>
      <c r="AK42" s="237">
        <f>AVERAGE(0.35,0.34,0.33)</f>
        <v>0.34</v>
      </c>
      <c r="AL42" s="208"/>
      <c r="AM42" s="208"/>
      <c r="AO42" s="237">
        <f>AVERAGE(0.35,0.34,0.33)</f>
        <v>0.34</v>
      </c>
      <c r="AP42" s="208"/>
      <c r="AQ42" s="208"/>
      <c r="AS42" s="237">
        <f>AVERAGE(0.35,0.34,0.33)</f>
        <v>0.34</v>
      </c>
      <c r="AT42" s="208"/>
      <c r="AU42" s="208"/>
      <c r="AW42" s="237">
        <f>AVERAGE(0.35,0.34,0.33)</f>
        <v>0.34</v>
      </c>
      <c r="AX42" s="208"/>
      <c r="AY42" s="208"/>
      <c r="BA42" s="237">
        <f>AVERAGE(0.35,0.34,0.33)</f>
        <v>0.34</v>
      </c>
      <c r="BB42" s="208"/>
      <c r="BC42" s="208"/>
      <c r="BE42" s="237">
        <f>AVERAGE(0.35,0.34,0.33)</f>
        <v>0.34</v>
      </c>
      <c r="BF42" s="208"/>
      <c r="BG42" s="208"/>
      <c r="BI42" s="237">
        <f>AVERAGE(0.35,0.34,0.33)</f>
        <v>0.34</v>
      </c>
      <c r="BJ42" s="208"/>
      <c r="BK42" s="208"/>
    </row>
    <row r="43" spans="1:63" s="142" customFormat="1" ht="19">
      <c r="A43" s="229" t="s">
        <v>996</v>
      </c>
      <c r="B43" s="239">
        <f>_xlfn.STDEV.S(0.012,0.012,0.011)</f>
        <v>5.7735026918962634E-4</v>
      </c>
      <c r="C43" s="229"/>
      <c r="D43" s="46"/>
      <c r="E43" s="229" t="s">
        <v>996</v>
      </c>
      <c r="F43" s="239">
        <f>_xlfn.STDEV.S(0.011,0.012,0.012)</f>
        <v>5.7735026918962623E-4</v>
      </c>
      <c r="G43" s="229"/>
      <c r="I43" s="229" t="s">
        <v>996</v>
      </c>
      <c r="J43" s="239">
        <f>_xlfn.STDEV.S(0.012,0.012,0.011)</f>
        <v>5.7735026918962634E-4</v>
      </c>
      <c r="K43" s="229"/>
      <c r="M43" s="229" t="s">
        <v>996</v>
      </c>
      <c r="N43" s="239">
        <f>_xlfn.STDEV.S(0.012,0.012,0.011)</f>
        <v>5.7735026918962634E-4</v>
      </c>
      <c r="O43" s="229"/>
      <c r="Q43" s="239">
        <f>_xlfn.STDEV.S(0.012,0.011,0.011)</f>
        <v>5.7735026918962623E-4</v>
      </c>
      <c r="R43" s="229"/>
      <c r="S43" s="229"/>
      <c r="U43" s="229" t="s">
        <v>996</v>
      </c>
      <c r="V43" s="239">
        <f>_xlfn.STDEV.S(0.011,0.012,0.011)</f>
        <v>5.7735026918962623E-4</v>
      </c>
      <c r="W43" s="229"/>
      <c r="Y43" s="228">
        <f>_xlfn.STDEV.S(0.012,0.012,0.011)</f>
        <v>5.7735026918962634E-4</v>
      </c>
      <c r="Z43" s="229"/>
      <c r="AA43" s="229"/>
      <c r="AB43" s="89"/>
      <c r="AC43" s="239">
        <f>_xlfn.STDEV.S(0.012,0.012,0.011)</f>
        <v>5.7735026918962634E-4</v>
      </c>
      <c r="AD43" s="229"/>
      <c r="AE43" s="229"/>
      <c r="AF43" s="89"/>
      <c r="AG43" s="228">
        <f>_xlfn.STDEV.S(0.012,0.012,0.011)</f>
        <v>5.7735026918962634E-4</v>
      </c>
      <c r="AH43" s="229"/>
      <c r="AI43" s="229"/>
      <c r="AK43" s="228">
        <f>_xlfn.STDEV.S(0.012,0.012,0.011)</f>
        <v>5.7735026918962634E-4</v>
      </c>
      <c r="AL43" s="229"/>
      <c r="AM43" s="229"/>
      <c r="AO43" s="228">
        <f>_xlfn.STDEV.S(0.012,0.012,0.011)</f>
        <v>5.7735026918962634E-4</v>
      </c>
      <c r="AP43" s="229"/>
      <c r="AQ43" s="229"/>
      <c r="AS43" s="228">
        <f>_xlfn.STDEV.S(0.012,0.012,0.011)</f>
        <v>5.7735026918962634E-4</v>
      </c>
      <c r="AT43" s="229"/>
      <c r="AU43" s="229"/>
      <c r="AW43" s="228">
        <f>_xlfn.STDEV.S(0.012,0.012,0.011)</f>
        <v>5.7735026918962634E-4</v>
      </c>
      <c r="AX43" s="229"/>
      <c r="AY43" s="229"/>
      <c r="BA43" s="228">
        <f>_xlfn.STDEV.S(0.012,0.012,0.011)</f>
        <v>5.7735026918962634E-4</v>
      </c>
      <c r="BB43" s="229"/>
      <c r="BC43" s="229"/>
      <c r="BE43" s="228">
        <f>_xlfn.STDEV.S(0.012,0.012,0.011)</f>
        <v>5.7735026918962634E-4</v>
      </c>
      <c r="BF43" s="229"/>
      <c r="BG43" s="229"/>
      <c r="BI43" s="228">
        <f>_xlfn.STDEV.S(0.012,0.012,0.011)</f>
        <v>5.7735026918962634E-4</v>
      </c>
      <c r="BJ43" s="229"/>
      <c r="BK43" s="229"/>
    </row>
    <row r="44" spans="1:63" s="144" customFormat="1" ht="19">
      <c r="A44" s="143"/>
      <c r="B44" s="143"/>
      <c r="C44" s="143"/>
      <c r="D44" s="143"/>
      <c r="E44" s="143"/>
      <c r="F44" s="143"/>
      <c r="G44" s="143"/>
      <c r="H44" s="143"/>
      <c r="I44" s="143"/>
      <c r="J44" s="46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Y44" s="143"/>
      <c r="Z44" s="143"/>
      <c r="AA44" s="143"/>
      <c r="AB44" s="1"/>
      <c r="AC44" s="143"/>
      <c r="AD44" s="143"/>
      <c r="AE44" s="143"/>
      <c r="AF44" s="1"/>
      <c r="AG44" s="143"/>
      <c r="AH44" s="143"/>
      <c r="AI44" s="143"/>
    </row>
    <row r="45" spans="1:63" s="144" customFormat="1" ht="19">
      <c r="A45" s="143"/>
      <c r="B45" s="46"/>
      <c r="C45" s="46"/>
      <c r="D45" s="143"/>
      <c r="E45" s="143"/>
      <c r="F45" s="46"/>
      <c r="G45" s="143"/>
      <c r="H45" s="143"/>
      <c r="I45" s="143"/>
      <c r="J45" s="46"/>
      <c r="K45" s="143"/>
      <c r="L45" s="143"/>
      <c r="M45" s="143"/>
      <c r="N45" s="46"/>
      <c r="O45" s="143"/>
      <c r="P45" s="143"/>
      <c r="Q45" s="46"/>
      <c r="R45" s="143"/>
      <c r="S45" s="143"/>
      <c r="T45" s="143"/>
      <c r="U45" s="143"/>
      <c r="V45" s="46"/>
      <c r="W45" s="143"/>
      <c r="Y45" s="46"/>
      <c r="Z45" s="143"/>
      <c r="AA45" s="143"/>
      <c r="AB45" s="1"/>
      <c r="AC45" s="46"/>
      <c r="AD45" s="143"/>
      <c r="AE45" s="143"/>
      <c r="AF45" s="1"/>
      <c r="AG45" s="46"/>
      <c r="AH45" s="143"/>
      <c r="AI45" s="143"/>
    </row>
    <row r="46" spans="1:63" s="144" customFormat="1" ht="19">
      <c r="AB46" s="1"/>
      <c r="AF46" s="1"/>
      <c r="AG46" s="143"/>
      <c r="AH46" s="143"/>
      <c r="AI46" s="143"/>
    </row>
    <row r="47" spans="1:63" s="144" customFormat="1" ht="19">
      <c r="AB47" s="1"/>
      <c r="AF47" s="1"/>
      <c r="AG47" s="143"/>
      <c r="AH47" s="143"/>
      <c r="AI47" s="143"/>
    </row>
    <row r="48" spans="1:63" s="144" customFormat="1" ht="19">
      <c r="AB48" s="1"/>
      <c r="AF48" s="1"/>
      <c r="AG48" s="143"/>
      <c r="AH48" s="143"/>
      <c r="AI48" s="143"/>
    </row>
    <row r="49" spans="1:35" s="144" customFormat="1" ht="19">
      <c r="AB49" s="1"/>
      <c r="AF49" s="1"/>
      <c r="AG49" s="143"/>
      <c r="AH49" s="143"/>
      <c r="AI49" s="143"/>
    </row>
    <row r="50" spans="1:35" s="144" customFormat="1" ht="19">
      <c r="AB50" s="1"/>
      <c r="AF50" s="1"/>
      <c r="AG50" s="143"/>
      <c r="AH50" s="143"/>
      <c r="AI50" s="143"/>
    </row>
    <row r="51" spans="1:35" s="144" customFormat="1" ht="19">
      <c r="A51" s="280" t="s">
        <v>425</v>
      </c>
      <c r="B51" s="280"/>
      <c r="C51" s="280"/>
      <c r="D51" s="232">
        <v>0.01</v>
      </c>
      <c r="E51" s="232">
        <v>1.4999999999999999E-2</v>
      </c>
      <c r="F51" s="232">
        <v>2.5000000000000001E-2</v>
      </c>
      <c r="G51" s="232">
        <v>0.05</v>
      </c>
      <c r="H51" s="232">
        <v>0.1</v>
      </c>
      <c r="I51" s="232">
        <v>0.25</v>
      </c>
      <c r="J51" s="281" t="s">
        <v>1185</v>
      </c>
      <c r="K51" s="281"/>
      <c r="AB51" s="1"/>
      <c r="AF51" s="1"/>
      <c r="AG51" s="143"/>
      <c r="AH51" s="143"/>
      <c r="AI51" s="143"/>
    </row>
    <row r="52" spans="1:35" s="144" customFormat="1" ht="19">
      <c r="A52" s="281" t="s">
        <v>426</v>
      </c>
      <c r="B52" s="281"/>
      <c r="C52" s="281"/>
      <c r="D52" s="219"/>
      <c r="E52" s="233"/>
      <c r="F52" s="233"/>
      <c r="G52" s="233"/>
      <c r="H52" s="233"/>
      <c r="I52" s="233"/>
      <c r="J52" s="282">
        <v>2E-3</v>
      </c>
      <c r="K52" s="282"/>
      <c r="AB52" s="1"/>
      <c r="AF52" s="1"/>
      <c r="AG52" s="143"/>
      <c r="AH52" s="143"/>
      <c r="AI52" s="143"/>
    </row>
    <row r="53" spans="1:35" s="144" customFormat="1" ht="19">
      <c r="A53" s="276" t="s">
        <v>427</v>
      </c>
      <c r="B53" s="276"/>
      <c r="C53" s="276"/>
      <c r="D53" s="234"/>
      <c r="E53" s="234"/>
      <c r="F53" s="234"/>
      <c r="G53" s="234"/>
      <c r="H53" s="233"/>
      <c r="I53" s="234"/>
      <c r="J53" s="283"/>
      <c r="K53" s="28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Y53" s="143"/>
      <c r="Z53" s="143"/>
      <c r="AA53" s="143"/>
      <c r="AB53" s="1"/>
      <c r="AC53" s="143"/>
      <c r="AD53" s="143"/>
      <c r="AE53" s="143"/>
      <c r="AF53" s="1"/>
      <c r="AG53" s="143"/>
      <c r="AH53" s="143"/>
      <c r="AI53" s="143"/>
    </row>
    <row r="54" spans="1:35" s="144" customFormat="1" ht="19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Y54" s="143"/>
      <c r="Z54" s="143"/>
      <c r="AA54" s="143"/>
      <c r="AB54" s="1"/>
      <c r="AC54" s="143"/>
      <c r="AD54" s="143"/>
      <c r="AE54" s="143"/>
      <c r="AF54" s="1"/>
      <c r="AG54" s="143"/>
      <c r="AH54" s="143"/>
      <c r="AI54" s="143"/>
    </row>
    <row r="55" spans="1:35" s="144" customFormat="1" ht="19">
      <c r="A55" s="217"/>
      <c r="B55" s="218"/>
      <c r="C55" s="218"/>
      <c r="D55" s="143"/>
      <c r="E55" s="217"/>
      <c r="F55" s="218"/>
      <c r="G55" s="143"/>
      <c r="H55" s="143"/>
      <c r="I55" s="217"/>
      <c r="J55" s="218"/>
      <c r="K55" s="143"/>
      <c r="L55" s="143"/>
      <c r="M55" s="217"/>
      <c r="N55" s="218"/>
      <c r="O55" s="143"/>
      <c r="P55" s="143"/>
      <c r="Q55" s="218"/>
      <c r="R55" s="143"/>
      <c r="S55" s="143"/>
      <c r="T55" s="143"/>
      <c r="U55" s="217"/>
      <c r="V55" s="218"/>
      <c r="W55" s="143"/>
      <c r="Y55" s="218"/>
      <c r="Z55" s="143"/>
      <c r="AA55" s="143"/>
      <c r="AB55" s="1"/>
      <c r="AC55" s="218"/>
      <c r="AD55" s="143"/>
      <c r="AE55" s="143"/>
      <c r="AF55" s="1"/>
      <c r="AG55" s="218"/>
      <c r="AH55" s="143"/>
      <c r="AI55" s="143"/>
    </row>
    <row r="56" spans="1:35" s="144" customFormat="1" ht="19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Y56" s="143"/>
      <c r="Z56" s="143"/>
      <c r="AA56" s="143"/>
      <c r="AB56" s="1"/>
      <c r="AC56" s="143"/>
      <c r="AD56" s="143"/>
      <c r="AE56" s="143"/>
      <c r="AF56" s="1"/>
      <c r="AG56" s="143"/>
      <c r="AH56" s="143"/>
      <c r="AI56" s="143"/>
    </row>
    <row r="57" spans="1:3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Y57" s="10"/>
      <c r="Z57" s="10"/>
      <c r="AA57" s="10"/>
      <c r="AC57" s="10"/>
      <c r="AD57" s="10"/>
      <c r="AE57" s="10"/>
    </row>
    <row r="58" spans="1:3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Y58" s="10"/>
      <c r="Z58" s="10"/>
      <c r="AA58" s="10"/>
      <c r="AC58" s="10"/>
      <c r="AD58" s="10"/>
      <c r="AE58" s="10"/>
    </row>
    <row r="59" spans="1:3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Y59" s="10"/>
      <c r="Z59" s="10"/>
      <c r="AA59" s="10"/>
      <c r="AC59" s="10"/>
      <c r="AD59" s="10"/>
      <c r="AE59" s="10"/>
    </row>
    <row r="60" spans="1:3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Y60" s="10"/>
      <c r="Z60" s="10"/>
      <c r="AA60" s="10"/>
      <c r="AC60" s="10"/>
      <c r="AD60" s="10"/>
      <c r="AE60" s="10"/>
    </row>
  </sheetData>
  <mergeCells count="36">
    <mergeCell ref="A4:O4"/>
    <mergeCell ref="Q4:AE4"/>
    <mergeCell ref="A14:F14"/>
    <mergeCell ref="G14:O14"/>
    <mergeCell ref="Q14:V14"/>
    <mergeCell ref="X14:AF14"/>
    <mergeCell ref="A52:C52"/>
    <mergeCell ref="J52:K52"/>
    <mergeCell ref="A53:C53"/>
    <mergeCell ref="J53:K53"/>
    <mergeCell ref="Y17:AA17"/>
    <mergeCell ref="A32:C32"/>
    <mergeCell ref="Q32:S32"/>
    <mergeCell ref="Y32:AA32"/>
    <mergeCell ref="AS17:AU17"/>
    <mergeCell ref="AS32:AU32"/>
    <mergeCell ref="AG32:AI32"/>
    <mergeCell ref="A51:C51"/>
    <mergeCell ref="J51:K51"/>
    <mergeCell ref="AC17:AE17"/>
    <mergeCell ref="AC32:AE32"/>
    <mergeCell ref="AG17:AI17"/>
    <mergeCell ref="AK17:AM17"/>
    <mergeCell ref="AK32:AM32"/>
    <mergeCell ref="AO17:AQ17"/>
    <mergeCell ref="AO32:AQ32"/>
    <mergeCell ref="BI17:BK17"/>
    <mergeCell ref="BI32:BK32"/>
    <mergeCell ref="AW14:BB14"/>
    <mergeCell ref="BD14:BL14"/>
    <mergeCell ref="AW17:AY17"/>
    <mergeCell ref="AW32:AY32"/>
    <mergeCell ref="BA17:BC17"/>
    <mergeCell ref="BA32:BC32"/>
    <mergeCell ref="BE17:BG17"/>
    <mergeCell ref="BE32:BG32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54"/>
  <sheetViews>
    <sheetView topLeftCell="A7" zoomScale="60" zoomScaleNormal="60" workbookViewId="0">
      <selection activeCell="N28" sqref="N28"/>
    </sheetView>
  </sheetViews>
  <sheetFormatPr baseColWidth="10" defaultColWidth="8.83203125" defaultRowHeight="15"/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9">
      <c r="A4" s="144"/>
      <c r="B4" s="144"/>
      <c r="C4" s="144"/>
      <c r="D4" s="144" t="s">
        <v>1373</v>
      </c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  <c r="P4" s="144"/>
      <c r="Q4" s="144"/>
      <c r="R4" s="144"/>
      <c r="S4" s="144"/>
      <c r="T4" s="144"/>
    </row>
    <row r="5" spans="1:20" ht="19">
      <c r="A5" s="144"/>
      <c r="B5" s="144"/>
      <c r="C5" s="144"/>
      <c r="D5" s="144" t="s">
        <v>1374</v>
      </c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</row>
    <row r="6" spans="1:20" ht="19">
      <c r="A6" s="144"/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</row>
    <row r="7" spans="1:20" ht="19">
      <c r="A7" s="144"/>
      <c r="B7" s="144"/>
      <c r="C7" s="144"/>
      <c r="D7" s="144" t="s">
        <v>1375</v>
      </c>
      <c r="E7" s="144"/>
      <c r="F7" s="144"/>
      <c r="G7" s="144"/>
      <c r="H7" s="144"/>
      <c r="I7" s="144"/>
      <c r="J7" s="144"/>
      <c r="K7" s="144"/>
      <c r="L7" s="144"/>
      <c r="M7" s="144"/>
      <c r="N7" s="144"/>
      <c r="O7" s="144"/>
      <c r="P7" s="144"/>
      <c r="Q7" s="144"/>
      <c r="R7" s="144"/>
      <c r="S7" s="144"/>
      <c r="T7" s="144"/>
    </row>
    <row r="8" spans="1:20" ht="19">
      <c r="A8" s="144"/>
      <c r="B8" s="144"/>
      <c r="C8" s="144"/>
      <c r="D8" s="144" t="s">
        <v>1376</v>
      </c>
      <c r="E8" s="144"/>
      <c r="F8" s="144"/>
      <c r="G8" s="144"/>
      <c r="H8" s="144"/>
      <c r="I8" s="144"/>
      <c r="J8" s="144"/>
      <c r="K8" s="144"/>
      <c r="L8" s="144"/>
      <c r="M8" s="144"/>
      <c r="N8" s="144"/>
      <c r="O8" s="144"/>
      <c r="P8" s="144"/>
      <c r="Q8" s="144"/>
      <c r="R8" s="144"/>
      <c r="S8" s="144"/>
      <c r="T8" s="144"/>
    </row>
    <row r="9" spans="1:20" ht="19">
      <c r="A9" s="144"/>
      <c r="B9" s="144"/>
      <c r="C9" s="144"/>
      <c r="D9" s="144"/>
      <c r="E9" s="144"/>
      <c r="F9" s="144"/>
      <c r="G9" s="144"/>
      <c r="H9" s="144"/>
      <c r="I9" s="144"/>
      <c r="J9" s="144"/>
      <c r="K9" s="144"/>
      <c r="L9" s="144"/>
      <c r="M9" s="144"/>
      <c r="N9" s="144"/>
      <c r="O9" s="144"/>
      <c r="P9" s="144"/>
      <c r="Q9" s="144"/>
      <c r="R9" s="144"/>
      <c r="S9" s="144"/>
      <c r="T9" s="144"/>
    </row>
    <row r="10" spans="1:20" ht="19">
      <c r="A10" s="144"/>
      <c r="B10" s="144"/>
      <c r="C10" s="144"/>
      <c r="D10" s="144" t="s">
        <v>1377</v>
      </c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4"/>
      <c r="Q10" s="144"/>
      <c r="R10" s="144"/>
      <c r="S10" s="144"/>
      <c r="T10" s="144"/>
    </row>
    <row r="11" spans="1:20" ht="19">
      <c r="A11" s="144"/>
      <c r="B11" s="144"/>
      <c r="C11" s="144"/>
      <c r="D11" s="144" t="s">
        <v>1378</v>
      </c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  <c r="Q11" s="144"/>
      <c r="R11" s="144"/>
      <c r="S11" s="144"/>
      <c r="T11" s="144"/>
    </row>
    <row r="12" spans="1:20" ht="19">
      <c r="A12" s="144"/>
      <c r="B12" s="144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  <c r="O12" s="144"/>
      <c r="P12" s="144"/>
      <c r="Q12" s="144"/>
      <c r="R12" s="144"/>
      <c r="S12" s="144"/>
      <c r="T12" s="144"/>
    </row>
    <row r="13" spans="1:20" ht="19">
      <c r="A13" s="144"/>
      <c r="B13" s="144"/>
      <c r="C13" s="144"/>
      <c r="D13" s="144"/>
      <c r="E13" s="144"/>
      <c r="F13" s="144"/>
      <c r="G13" s="144"/>
      <c r="H13" s="144"/>
      <c r="I13" s="144"/>
      <c r="J13" s="144"/>
      <c r="K13" s="144"/>
      <c r="L13" s="144"/>
      <c r="M13" s="144"/>
      <c r="N13" s="144"/>
      <c r="O13" s="144"/>
      <c r="P13" s="144"/>
      <c r="Q13" s="144"/>
      <c r="R13" s="144"/>
      <c r="S13" s="144"/>
      <c r="T13" s="144"/>
    </row>
    <row r="14" spans="1:20" ht="19">
      <c r="A14" s="240"/>
      <c r="B14" s="240"/>
      <c r="C14" s="240"/>
      <c r="D14" s="240"/>
      <c r="E14" s="288" t="s">
        <v>3</v>
      </c>
      <c r="F14" s="288"/>
      <c r="G14" s="288"/>
      <c r="H14" s="288"/>
      <c r="I14" s="288"/>
      <c r="J14" s="288"/>
      <c r="K14" s="208"/>
      <c r="L14" s="289">
        <f>AVERAGE(1.49,1.48,1.49)</f>
        <v>1.4866666666666666</v>
      </c>
      <c r="M14" s="289"/>
      <c r="N14" s="289"/>
      <c r="O14" s="289"/>
      <c r="P14" s="289"/>
      <c r="Q14" s="289"/>
      <c r="R14" s="289"/>
      <c r="S14" s="289"/>
      <c r="T14" s="289"/>
    </row>
    <row r="15" spans="1:20" ht="19">
      <c r="A15" s="144"/>
      <c r="B15" s="144"/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</row>
    <row r="16" spans="1:20" ht="19">
      <c r="A16" s="211"/>
      <c r="B16" s="211"/>
      <c r="C16" s="211"/>
      <c r="D16" s="211"/>
      <c r="E16" s="211" t="s">
        <v>39</v>
      </c>
      <c r="F16" s="211"/>
      <c r="G16" s="211"/>
      <c r="H16" s="211"/>
      <c r="I16" s="211"/>
      <c r="J16" s="211"/>
      <c r="K16" s="211"/>
      <c r="M16" s="211"/>
      <c r="N16" s="211"/>
      <c r="O16" s="211"/>
      <c r="P16" s="211"/>
      <c r="Q16" s="211"/>
      <c r="R16" s="211"/>
      <c r="S16" s="211"/>
      <c r="T16" s="211"/>
    </row>
    <row r="17" spans="1:10" ht="19">
      <c r="A17" s="144"/>
      <c r="B17" s="144"/>
      <c r="C17" s="287">
        <v>40</v>
      </c>
      <c r="D17" s="287"/>
      <c r="E17" s="287"/>
      <c r="F17" s="144"/>
      <c r="G17" s="287">
        <v>50</v>
      </c>
      <c r="H17" s="287"/>
      <c r="I17" s="287"/>
      <c r="J17" s="144"/>
    </row>
    <row r="18" spans="1:10" ht="19">
      <c r="A18" s="144"/>
      <c r="B18" s="144"/>
      <c r="C18" s="144" t="s">
        <v>1145</v>
      </c>
      <c r="D18" s="144"/>
      <c r="E18" s="144"/>
      <c r="F18" s="144"/>
      <c r="G18" s="144" t="s">
        <v>1383</v>
      </c>
      <c r="H18" s="144"/>
      <c r="I18" s="144"/>
      <c r="J18" s="144"/>
    </row>
    <row r="19" spans="1:10" ht="19">
      <c r="A19" s="144"/>
      <c r="B19" s="144"/>
      <c r="C19" s="144" t="s">
        <v>1328</v>
      </c>
      <c r="D19" s="144"/>
      <c r="E19" s="144"/>
      <c r="F19" s="144"/>
      <c r="G19" s="144" t="s">
        <v>1384</v>
      </c>
      <c r="H19" s="144"/>
      <c r="I19" s="144"/>
      <c r="J19" s="144"/>
    </row>
    <row r="20" spans="1:10" ht="19">
      <c r="A20" s="144"/>
      <c r="B20" s="144"/>
      <c r="C20" s="144"/>
      <c r="D20" s="144"/>
      <c r="E20" s="144"/>
      <c r="F20" s="144"/>
      <c r="G20" s="144"/>
      <c r="H20" s="144"/>
      <c r="I20" s="144"/>
      <c r="J20" s="144"/>
    </row>
    <row r="21" spans="1:10" ht="19">
      <c r="A21" s="144"/>
      <c r="B21" s="144"/>
      <c r="C21" s="144" t="s">
        <v>1385</v>
      </c>
      <c r="D21" s="144"/>
      <c r="E21" s="144"/>
      <c r="F21" s="144"/>
      <c r="G21" s="144" t="s">
        <v>1379</v>
      </c>
      <c r="H21" s="144"/>
      <c r="I21" s="144"/>
      <c r="J21" s="144"/>
    </row>
    <row r="22" spans="1:10" ht="19">
      <c r="A22" s="144"/>
      <c r="B22" s="144"/>
      <c r="C22" s="144" t="s">
        <v>1319</v>
      </c>
      <c r="D22" s="144"/>
      <c r="E22" s="144"/>
      <c r="F22" s="144"/>
      <c r="G22" s="144" t="s">
        <v>1380</v>
      </c>
      <c r="H22" s="144"/>
      <c r="I22" s="144"/>
      <c r="J22" s="144"/>
    </row>
    <row r="23" spans="1:10" ht="19">
      <c r="A23" s="144"/>
      <c r="B23" s="144"/>
      <c r="C23" s="144"/>
      <c r="D23" s="144"/>
      <c r="E23" s="144"/>
      <c r="F23" s="144"/>
      <c r="G23" s="144"/>
      <c r="H23" s="144"/>
      <c r="I23" s="144"/>
      <c r="J23" s="144"/>
    </row>
    <row r="24" spans="1:10" ht="19">
      <c r="A24" s="144"/>
      <c r="B24" s="144"/>
      <c r="C24" s="144" t="s">
        <v>1386</v>
      </c>
      <c r="D24" s="144"/>
      <c r="E24" s="144"/>
      <c r="F24" s="144"/>
      <c r="G24" s="144" t="s">
        <v>1381</v>
      </c>
      <c r="H24" s="144"/>
      <c r="I24" s="144"/>
      <c r="J24" s="144"/>
    </row>
    <row r="25" spans="1:10" ht="19">
      <c r="A25" s="144"/>
      <c r="B25" s="144"/>
      <c r="C25" s="144" t="s">
        <v>1387</v>
      </c>
      <c r="D25" s="144"/>
      <c r="E25" s="144"/>
      <c r="F25" s="144"/>
      <c r="G25" s="144" t="s">
        <v>1382</v>
      </c>
      <c r="H25" s="144"/>
      <c r="I25" s="144"/>
      <c r="J25" s="144"/>
    </row>
    <row r="26" spans="1:10" ht="19">
      <c r="A26" s="144"/>
      <c r="B26" s="144"/>
      <c r="C26" s="144"/>
      <c r="D26" s="144"/>
      <c r="E26" s="144"/>
      <c r="F26" s="144"/>
      <c r="G26" s="144"/>
      <c r="H26" s="144"/>
      <c r="I26" s="144"/>
      <c r="J26" s="144"/>
    </row>
    <row r="27" spans="1:10" ht="19">
      <c r="A27" s="144"/>
      <c r="B27" s="144"/>
      <c r="C27" s="144"/>
      <c r="D27" s="144"/>
      <c r="E27" s="144"/>
      <c r="F27" s="144"/>
      <c r="G27" s="144"/>
      <c r="H27" s="144"/>
      <c r="I27" s="144"/>
      <c r="J27" s="144"/>
    </row>
    <row r="28" spans="1:10" ht="19">
      <c r="A28" s="144"/>
      <c r="B28" s="144"/>
      <c r="C28" s="144"/>
      <c r="D28" s="144"/>
      <c r="E28" s="144"/>
      <c r="F28" s="144"/>
      <c r="G28" s="144"/>
      <c r="H28" s="144"/>
      <c r="I28" s="144"/>
      <c r="J28" s="144"/>
    </row>
    <row r="29" spans="1:10" ht="19">
      <c r="A29" s="142"/>
      <c r="B29" s="142"/>
      <c r="C29" s="238">
        <f>AVERAGE(0.79,0.78,0.78)</f>
        <v>0.78333333333333333</v>
      </c>
      <c r="D29" s="208"/>
      <c r="E29" s="208"/>
      <c r="F29" s="142"/>
      <c r="G29" s="238">
        <f>AVERAGE(0.8,0.8,0.8)</f>
        <v>0.80000000000000016</v>
      </c>
      <c r="H29" s="208"/>
      <c r="I29" s="208"/>
      <c r="J29" s="142"/>
    </row>
    <row r="30" spans="1:10" ht="19">
      <c r="A30" s="142"/>
      <c r="B30" s="142"/>
      <c r="C30" s="239">
        <f>_xlfn.STDEV.S(0.011,0.013,0.014)</f>
        <v>1.527525231651947E-3</v>
      </c>
      <c r="D30" s="229"/>
      <c r="E30" s="229"/>
      <c r="F30" s="142"/>
      <c r="G30" s="239">
        <f>_xlfn.STDEV.S(0.018,0.013,0.016)</f>
        <v>2.5166114784235831E-3</v>
      </c>
      <c r="H30" s="229"/>
      <c r="I30" s="229"/>
      <c r="J30" s="142"/>
    </row>
    <row r="31" spans="1:10" ht="19">
      <c r="A31" s="144"/>
      <c r="B31" s="144"/>
      <c r="C31" s="211"/>
      <c r="D31" s="211"/>
      <c r="E31" s="211"/>
      <c r="F31" s="211" t="s">
        <v>1395</v>
      </c>
      <c r="G31" s="211"/>
      <c r="H31" s="211"/>
      <c r="I31" s="211"/>
      <c r="J31" s="144"/>
    </row>
    <row r="32" spans="1:10" ht="19">
      <c r="A32" s="144"/>
      <c r="B32" s="144"/>
      <c r="C32" s="287" t="s">
        <v>1237</v>
      </c>
      <c r="D32" s="287"/>
      <c r="E32" s="287"/>
      <c r="F32" s="144"/>
      <c r="G32" s="287">
        <v>50</v>
      </c>
      <c r="H32" s="287"/>
      <c r="I32" s="287"/>
      <c r="J32" s="144"/>
    </row>
    <row r="33" spans="1:20" ht="19">
      <c r="A33" s="144"/>
      <c r="B33" s="144"/>
      <c r="C33" s="144"/>
      <c r="D33" s="144"/>
      <c r="E33" s="144"/>
      <c r="F33" s="144"/>
      <c r="G33" s="144" t="s">
        <v>1388</v>
      </c>
      <c r="H33" s="144"/>
      <c r="I33" s="144"/>
      <c r="J33" s="144"/>
    </row>
    <row r="34" spans="1:20" ht="19">
      <c r="A34" s="144"/>
      <c r="B34" s="144"/>
      <c r="C34" s="144"/>
      <c r="D34" s="144"/>
      <c r="E34" s="144"/>
      <c r="F34" s="144"/>
      <c r="G34" s="144" t="s">
        <v>1389</v>
      </c>
      <c r="H34" s="144"/>
      <c r="I34" s="144"/>
      <c r="J34" s="144"/>
    </row>
    <row r="35" spans="1:20" ht="19">
      <c r="A35" s="144"/>
      <c r="B35" s="144"/>
      <c r="C35" s="144"/>
      <c r="D35" s="144"/>
      <c r="E35" s="144"/>
      <c r="F35" s="144"/>
      <c r="G35" s="144"/>
      <c r="H35" s="144"/>
      <c r="I35" s="144"/>
      <c r="J35" s="144"/>
    </row>
    <row r="36" spans="1:20" ht="19">
      <c r="A36" s="144"/>
      <c r="B36" s="144"/>
      <c r="C36" s="144"/>
      <c r="D36" s="144"/>
      <c r="E36" s="144"/>
      <c r="F36" s="144"/>
      <c r="G36" s="144" t="s">
        <v>1107</v>
      </c>
      <c r="H36" s="144"/>
      <c r="I36" s="144"/>
      <c r="J36" s="144"/>
    </row>
    <row r="37" spans="1:20" ht="19">
      <c r="A37" s="144"/>
      <c r="B37" s="144"/>
      <c r="C37" s="144"/>
      <c r="D37" s="144"/>
      <c r="E37" s="144"/>
      <c r="F37" s="144"/>
      <c r="G37" s="144" t="s">
        <v>1151</v>
      </c>
      <c r="H37" s="144"/>
      <c r="I37" s="144"/>
      <c r="J37" s="144"/>
    </row>
    <row r="38" spans="1:20" ht="19">
      <c r="A38" s="144"/>
      <c r="B38" s="144"/>
      <c r="C38" s="144"/>
      <c r="D38" s="144"/>
      <c r="E38" s="144"/>
      <c r="F38" s="144"/>
      <c r="G38" s="144"/>
      <c r="H38" s="144"/>
      <c r="I38" s="144"/>
      <c r="J38" s="144"/>
    </row>
    <row r="39" spans="1:20" ht="19">
      <c r="A39" s="144"/>
      <c r="B39" s="144"/>
      <c r="C39" s="144"/>
      <c r="D39" s="144"/>
      <c r="E39" s="144"/>
      <c r="F39" s="144"/>
      <c r="G39" s="144" t="s">
        <v>1390</v>
      </c>
      <c r="H39" s="144"/>
      <c r="I39" s="144"/>
      <c r="J39" s="144"/>
    </row>
    <row r="40" spans="1:20" ht="19">
      <c r="A40" s="144"/>
      <c r="B40" s="144"/>
      <c r="C40" s="144"/>
      <c r="D40" s="144"/>
      <c r="E40" s="144"/>
      <c r="F40" s="144"/>
      <c r="G40" s="144" t="s">
        <v>1231</v>
      </c>
      <c r="H40" s="144"/>
      <c r="I40" s="144"/>
      <c r="J40" s="144"/>
    </row>
    <row r="41" spans="1:20" ht="19">
      <c r="A41" s="144"/>
      <c r="B41" s="144"/>
      <c r="C41" s="144"/>
      <c r="D41" s="144"/>
      <c r="E41" s="144"/>
      <c r="F41" s="144"/>
      <c r="G41" s="144"/>
      <c r="H41" s="144"/>
      <c r="I41" s="144"/>
      <c r="J41" s="144"/>
    </row>
    <row r="42" spans="1:20" ht="19">
      <c r="A42" s="142"/>
      <c r="B42" s="142"/>
      <c r="C42" s="238">
        <v>0.6</v>
      </c>
      <c r="D42" s="208"/>
      <c r="E42" s="208"/>
      <c r="F42" s="142"/>
      <c r="G42" s="238">
        <f>AVERAGE(0.63,0.66,0.68)</f>
        <v>0.65666666666666673</v>
      </c>
      <c r="H42" s="208"/>
      <c r="I42" s="208"/>
      <c r="J42" s="142"/>
    </row>
    <row r="43" spans="1:20" ht="19">
      <c r="A43" s="142"/>
      <c r="B43" s="142"/>
      <c r="C43" s="228">
        <f>_xlfn.STDEV.S(0.012,0.012,0.011)</f>
        <v>5.7735026918962634E-4</v>
      </c>
      <c r="D43" s="229"/>
      <c r="E43" s="229"/>
      <c r="F43" s="142"/>
      <c r="G43" s="239">
        <f>_xlfn.STDEV.S(0.012,0.012,0.013)</f>
        <v>5.7735026918962525E-4</v>
      </c>
      <c r="H43" s="229"/>
      <c r="I43" s="229"/>
      <c r="J43" s="142"/>
    </row>
    <row r="44" spans="1:20" ht="19">
      <c r="A44" s="144"/>
      <c r="B44" s="144"/>
      <c r="C44" s="144"/>
      <c r="D44" s="144"/>
      <c r="E44" s="144"/>
      <c r="F44" s="144"/>
      <c r="G44" s="144"/>
      <c r="H44" s="144"/>
      <c r="I44" s="144"/>
      <c r="J44" s="144"/>
    </row>
    <row r="45" spans="1:20" ht="19">
      <c r="A45" s="144"/>
      <c r="B45" s="144"/>
      <c r="C45" s="144"/>
      <c r="D45" s="144"/>
      <c r="E45" s="144"/>
      <c r="F45" s="144"/>
      <c r="G45" s="144"/>
      <c r="H45" s="144"/>
      <c r="I45" s="144"/>
      <c r="J45" s="144"/>
      <c r="K45" s="144"/>
      <c r="L45" s="144"/>
      <c r="M45" s="144"/>
      <c r="N45" s="144"/>
      <c r="O45" s="144"/>
      <c r="P45" s="144"/>
      <c r="Q45" s="144"/>
      <c r="R45" s="144"/>
      <c r="S45" s="144"/>
      <c r="T45" s="144"/>
    </row>
    <row r="46" spans="1:20" ht="19">
      <c r="A46" s="144"/>
      <c r="B46" s="144"/>
      <c r="C46" s="144"/>
      <c r="D46" s="144"/>
      <c r="E46" s="144"/>
      <c r="F46" s="144"/>
      <c r="G46" s="144"/>
      <c r="H46" s="144"/>
      <c r="I46" s="144"/>
      <c r="J46" s="144"/>
      <c r="K46" s="144"/>
      <c r="L46" s="144"/>
      <c r="M46" s="144"/>
      <c r="N46" s="144"/>
      <c r="O46" s="144"/>
      <c r="P46" s="144"/>
      <c r="Q46" s="144"/>
      <c r="R46" s="144"/>
      <c r="S46" s="144"/>
      <c r="T46" s="144"/>
    </row>
    <row r="47" spans="1:20" ht="19">
      <c r="A47" s="144"/>
      <c r="B47" s="144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</row>
    <row r="48" spans="1:20" ht="19">
      <c r="A48" s="144"/>
      <c r="B48" s="144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</row>
    <row r="49" spans="1:20" ht="19">
      <c r="A49" s="144"/>
      <c r="B49" s="144"/>
      <c r="C49" s="144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44"/>
    </row>
    <row r="50" spans="1:20" ht="19">
      <c r="A50" s="144"/>
      <c r="B50" s="144"/>
      <c r="C50" s="144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44"/>
      <c r="Q50" s="144"/>
      <c r="R50" s="144"/>
      <c r="S50" s="144"/>
      <c r="T50" s="144"/>
    </row>
    <row r="51" spans="1:20" ht="19">
      <c r="A51" s="144"/>
      <c r="B51" s="144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M51" s="144"/>
      <c r="N51" s="144"/>
      <c r="O51" s="144"/>
      <c r="P51" s="144"/>
      <c r="Q51" s="144"/>
      <c r="R51" s="144"/>
      <c r="S51" s="144"/>
      <c r="T51" s="144"/>
    </row>
    <row r="52" spans="1:20" ht="19">
      <c r="A52" s="144"/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</row>
    <row r="53" spans="1:20" ht="19">
      <c r="A53" s="144"/>
      <c r="B53" s="144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4"/>
    </row>
    <row r="54" spans="1:20" ht="19">
      <c r="A54" s="144"/>
      <c r="B54" s="144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4"/>
    </row>
  </sheetData>
  <mergeCells count="6">
    <mergeCell ref="C32:E32"/>
    <mergeCell ref="G32:I32"/>
    <mergeCell ref="E14:J14"/>
    <mergeCell ref="L14:T14"/>
    <mergeCell ref="C17:E17"/>
    <mergeCell ref="G17:I1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B0B86-82A2-F14C-BD47-84580CECCD9A}">
  <dimension ref="B2:E19"/>
  <sheetViews>
    <sheetView tabSelected="1" workbookViewId="0">
      <selection activeCell="G6" sqref="G6"/>
    </sheetView>
  </sheetViews>
  <sheetFormatPr baseColWidth="10" defaultRowHeight="15"/>
  <cols>
    <col min="2" max="2" width="15.6640625" customWidth="1"/>
    <col min="3" max="3" width="17.1640625" customWidth="1"/>
    <col min="4" max="4" width="19.5" customWidth="1"/>
    <col min="5" max="5" width="10.83203125" style="249"/>
  </cols>
  <sheetData>
    <row r="2" spans="2:5" ht="16" thickBot="1"/>
    <row r="3" spans="2:5" ht="40">
      <c r="B3" s="243" t="s">
        <v>1391</v>
      </c>
      <c r="C3" s="243" t="s">
        <v>1393</v>
      </c>
      <c r="D3" s="243" t="s">
        <v>1395</v>
      </c>
      <c r="E3" s="248" t="s">
        <v>1423</v>
      </c>
    </row>
    <row r="4" spans="2:5" ht="21" thickBot="1">
      <c r="B4" s="244" t="s">
        <v>1392</v>
      </c>
      <c r="C4" s="244" t="s">
        <v>1394</v>
      </c>
      <c r="D4" s="244" t="s">
        <v>1396</v>
      </c>
      <c r="E4" s="248" t="s">
        <v>1394</v>
      </c>
    </row>
    <row r="5" spans="2:5" ht="22" thickTop="1" thickBot="1">
      <c r="B5" s="245">
        <v>2.5000000000000001E-3</v>
      </c>
      <c r="C5" s="245" t="s">
        <v>1397</v>
      </c>
      <c r="D5" s="245" t="s">
        <v>1398</v>
      </c>
      <c r="E5" s="249">
        <f>0.52-0.39</f>
        <v>0.13</v>
      </c>
    </row>
    <row r="6" spans="2:5" ht="21" thickBot="1">
      <c r="B6" s="246">
        <v>5.0000000000000001E-3</v>
      </c>
      <c r="C6" s="246" t="s">
        <v>1399</v>
      </c>
      <c r="D6" s="246" t="s">
        <v>1400</v>
      </c>
      <c r="E6" s="249">
        <f>0.53-0.44</f>
        <v>9.0000000000000024E-2</v>
      </c>
    </row>
    <row r="7" spans="2:5" ht="21" thickBot="1">
      <c r="B7" s="247">
        <v>0.01</v>
      </c>
      <c r="C7" s="247" t="s">
        <v>1401</v>
      </c>
      <c r="D7" s="247" t="s">
        <v>1402</v>
      </c>
      <c r="E7" s="249">
        <f>0.75-0.46</f>
        <v>0.28999999999999998</v>
      </c>
    </row>
    <row r="8" spans="2:5" ht="21" thickBot="1">
      <c r="B8" s="246">
        <v>1.4999999999999999E-2</v>
      </c>
      <c r="C8" s="246" t="s">
        <v>1403</v>
      </c>
      <c r="D8" s="246" t="s">
        <v>1404</v>
      </c>
      <c r="E8" s="249">
        <f>0.62-0.46</f>
        <v>0.15999999999999998</v>
      </c>
    </row>
    <row r="9" spans="2:5" ht="21" thickBot="1">
      <c r="B9" s="247">
        <v>2.5000000000000001E-2</v>
      </c>
      <c r="C9" s="247" t="s">
        <v>1405</v>
      </c>
      <c r="D9" s="247" t="s">
        <v>1406</v>
      </c>
      <c r="E9" s="249">
        <f>0.56-0.39</f>
        <v>0.17000000000000004</v>
      </c>
    </row>
    <row r="10" spans="2:5" ht="21" thickBot="1">
      <c r="B10" s="246">
        <v>0.05</v>
      </c>
      <c r="C10" s="246" t="s">
        <v>1407</v>
      </c>
      <c r="D10" s="246" t="s">
        <v>1406</v>
      </c>
      <c r="E10" s="249">
        <f>0.63-0.39</f>
        <v>0.24</v>
      </c>
    </row>
    <row r="11" spans="2:5" ht="21" thickBot="1">
      <c r="B11" s="247">
        <v>0.1</v>
      </c>
      <c r="C11" s="247" t="s">
        <v>1408</v>
      </c>
      <c r="D11" s="247" t="s">
        <v>1409</v>
      </c>
      <c r="E11" s="249">
        <f>0.78-0.4</f>
        <v>0.38</v>
      </c>
    </row>
    <row r="12" spans="2:5" ht="21" thickBot="1">
      <c r="B12" s="246">
        <v>0.25</v>
      </c>
      <c r="C12" s="246" t="s">
        <v>1410</v>
      </c>
      <c r="D12" s="246" t="s">
        <v>1411</v>
      </c>
      <c r="E12" s="249">
        <f>0.8-0.49</f>
        <v>0.31000000000000005</v>
      </c>
    </row>
    <row r="13" spans="2:5" ht="21" thickBot="1">
      <c r="B13" s="247">
        <v>0.5</v>
      </c>
      <c r="C13" s="247" t="s">
        <v>1412</v>
      </c>
      <c r="D13" s="247" t="s">
        <v>1413</v>
      </c>
      <c r="E13" s="249">
        <f>0.67-0.2</f>
        <v>0.47000000000000003</v>
      </c>
    </row>
    <row r="14" spans="2:5" ht="21" thickBot="1">
      <c r="B14" s="246">
        <v>0.9</v>
      </c>
      <c r="C14" s="246" t="s">
        <v>1412</v>
      </c>
      <c r="D14" s="246" t="s">
        <v>1414</v>
      </c>
      <c r="E14" s="249">
        <f>0.67-0.23</f>
        <v>0.44000000000000006</v>
      </c>
    </row>
    <row r="15" spans="2:5" ht="21" thickBot="1">
      <c r="B15" s="247">
        <v>1.5</v>
      </c>
      <c r="C15" s="247" t="s">
        <v>1415</v>
      </c>
      <c r="D15" s="247" t="s">
        <v>1416</v>
      </c>
      <c r="E15" s="249">
        <f>0.6-0.34</f>
        <v>0.25999999999999995</v>
      </c>
    </row>
    <row r="16" spans="2:5" ht="21" thickBot="1">
      <c r="B16" s="246">
        <v>2</v>
      </c>
      <c r="C16" s="246" t="s">
        <v>1417</v>
      </c>
      <c r="D16" s="246" t="s">
        <v>1418</v>
      </c>
      <c r="E16" s="249">
        <f>0.64-0.35</f>
        <v>0.29000000000000004</v>
      </c>
    </row>
    <row r="17" spans="2:5" ht="21" thickBot="1">
      <c r="B17" s="247">
        <v>10</v>
      </c>
      <c r="C17" s="247" t="s">
        <v>1401</v>
      </c>
      <c r="D17" s="247" t="s">
        <v>1419</v>
      </c>
      <c r="E17" s="249">
        <f>0.75-0.34</f>
        <v>0.41</v>
      </c>
    </row>
    <row r="18" spans="2:5" ht="21" thickBot="1">
      <c r="B18" s="246">
        <v>40</v>
      </c>
      <c r="C18" s="246" t="s">
        <v>1408</v>
      </c>
      <c r="D18" s="246" t="s">
        <v>1420</v>
      </c>
      <c r="E18" s="249">
        <f>0.78-0.6</f>
        <v>0.18000000000000005</v>
      </c>
    </row>
    <row r="19" spans="2:5" ht="21" thickBot="1">
      <c r="B19" s="247">
        <v>50</v>
      </c>
      <c r="C19" s="247" t="s">
        <v>1421</v>
      </c>
      <c r="D19" s="247" t="s">
        <v>1422</v>
      </c>
      <c r="E19" s="249">
        <f>0.83-0.66</f>
        <v>0.16999999999999993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6.12.2025</vt:lpstr>
      <vt:lpstr>Si 6.18.2025</vt:lpstr>
      <vt:lpstr>Repeat 6.19</vt:lpstr>
      <vt:lpstr>New Sol. 6.20 </vt:lpstr>
      <vt:lpstr>New Sol. 6.20 (1)</vt:lpstr>
      <vt:lpstr>New Sol. 6.20 (2)</vt:lpstr>
      <vt:lpstr>New set wafers. 6.21</vt:lpstr>
      <vt:lpstr>New set 07.01</vt:lpstr>
      <vt:lpstr>New Set Wafer 7.30.2025</vt:lpstr>
      <vt:lpstr>8.5.2025 washed</vt:lpstr>
      <vt:lpstr>8.5.2025 unwashed</vt:lpstr>
      <vt:lpstr>Vertrel</vt:lpstr>
      <vt:lpstr>8.26.25Fresh Sol.</vt:lpstr>
      <vt:lpstr>Sonication &amp;heat</vt:lpstr>
      <vt:lpstr>lower concentration10-17</vt:lpstr>
      <vt:lpstr>lower concentration 10-21</vt:lpstr>
      <vt:lpstr>lower concentration 10-23</vt:lpstr>
      <vt:lpstr>All 10-31-2025</vt:lpstr>
      <vt:lpstr>11-04</vt:lpstr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Microsoft Office User</cp:lastModifiedBy>
  <dcterms:created xsi:type="dcterms:W3CDTF">2025-06-11T17:35:34Z</dcterms:created>
  <dcterms:modified xsi:type="dcterms:W3CDTF">2026-03-25T17:21:05Z</dcterms:modified>
</cp:coreProperties>
</file>
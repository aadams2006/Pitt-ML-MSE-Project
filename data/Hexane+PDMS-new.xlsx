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olors1.xml" ContentType="application/vnd.ms-office.chartcolorstyle+xml"/>
  <Override PartName="/xl/charts/style1.xml" ContentType="application/vnd.ms-office.chartstyle+xml"/>
  <Override PartName="/xl/charts/colors2.xml" ContentType="application/vnd.ms-office.chartcolorstyle+xml"/>
  <Override PartName="/xl/charts/style2.xml" ContentType="application/vnd.ms-office.chartstyle+xml"/>
  <Override PartName="/xl/charts/colors3.xml" ContentType="application/vnd.ms-office.chartcolorstyle+xml"/>
  <Override PartName="/xl/charts/style3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 defaultThemeVersion="124226"/>
  <bookViews>
    <workbookView xWindow="855" yWindow="1065" windowWidth="19440" windowHeight="15600" activeTab="5"/>
  </bookViews>
  <sheets>
    <sheet name="11-(7,13)-2025" sheetId="1" r:id="rId1"/>
    <sheet name="Graphs" sheetId="3" r:id="rId2"/>
    <sheet name="11-17-2025" sheetId="4" r:id="rId3"/>
    <sheet name="11-19-2025" sheetId="5" r:id="rId4"/>
    <sheet name="12-03-2025" sheetId="6" r:id="rId5"/>
    <sheet name="12-04-2025" sheetId="7" r:id="rId6"/>
  </sheets>
  <externalReferences>
    <externalReference r:id="rId7"/>
    <externalReference r:id="rId8"/>
    <externalReference r:id="rId9"/>
    <externalReference r:id="rId10"/>
    <externalReference r:id="rId11"/>
  </externalReferences>
  <calcPr calcId="145621"/>
</workbook>
</file>

<file path=xl/calcChain.xml><?xml version="1.0" encoding="utf-8"?>
<calcChain xmlns="http://schemas.openxmlformats.org/spreadsheetml/2006/main">
  <c r="B32" i="7" l="1"/>
  <c r="B31" i="7"/>
  <c r="B22" i="7"/>
  <c r="B21" i="7"/>
  <c r="B12" i="7"/>
  <c r="AD32" i="7"/>
  <c r="Z32" i="7"/>
  <c r="V32" i="7"/>
  <c r="R32" i="7"/>
  <c r="N32" i="7"/>
  <c r="J32" i="7"/>
  <c r="F32" i="7"/>
  <c r="AD31" i="7"/>
  <c r="Z31" i="7"/>
  <c r="V31" i="7"/>
  <c r="R31" i="7"/>
  <c r="N31" i="7"/>
  <c r="J31" i="7"/>
  <c r="F31" i="7"/>
  <c r="AD22" i="7"/>
  <c r="Z22" i="7"/>
  <c r="V22" i="7"/>
  <c r="R22" i="7"/>
  <c r="N22" i="7"/>
  <c r="J22" i="7"/>
  <c r="F22" i="7"/>
  <c r="AD21" i="7"/>
  <c r="AD34" i="7" s="1"/>
  <c r="Z21" i="7"/>
  <c r="Z34" i="7" s="1"/>
  <c r="V21" i="7"/>
  <c r="V34" i="7" s="1"/>
  <c r="R21" i="7"/>
  <c r="R34" i="7" s="1"/>
  <c r="N21" i="7"/>
  <c r="N34" i="7" s="1"/>
  <c r="J21" i="7"/>
  <c r="J34" i="7" s="1"/>
  <c r="F21" i="7"/>
  <c r="F34" i="7" s="1"/>
  <c r="B34" i="7"/>
  <c r="AD12" i="7"/>
  <c r="Z12" i="7"/>
  <c r="V12" i="7"/>
  <c r="R12" i="7"/>
  <c r="N12" i="7"/>
  <c r="J12" i="7"/>
  <c r="N31" i="6" l="1"/>
  <c r="J31" i="6"/>
  <c r="F31" i="6"/>
  <c r="B31" i="6"/>
  <c r="F22" i="6"/>
  <c r="B21" i="6"/>
  <c r="B34" i="6" s="1"/>
  <c r="N21" i="6"/>
  <c r="J21" i="6"/>
  <c r="F21" i="6"/>
  <c r="J12" i="6"/>
  <c r="F12" i="6"/>
  <c r="N34" i="6"/>
  <c r="F32" i="6"/>
  <c r="B32" i="6"/>
  <c r="J34" i="6"/>
  <c r="B22" i="6"/>
  <c r="F34" i="6" l="1"/>
  <c r="B34" i="5"/>
  <c r="B31" i="5" l="1"/>
  <c r="F31" i="5"/>
  <c r="J31" i="5"/>
  <c r="J21" i="5"/>
  <c r="J22" i="5"/>
  <c r="F22" i="5"/>
  <c r="F21" i="5"/>
  <c r="B22" i="5"/>
  <c r="B21" i="5"/>
  <c r="J12" i="5" l="1"/>
  <c r="F12" i="5"/>
  <c r="B12" i="5"/>
  <c r="J34" i="5"/>
  <c r="F34" i="5"/>
  <c r="F32" i="5"/>
  <c r="B32" i="5"/>
  <c r="N34" i="5"/>
  <c r="E40" i="4" l="1"/>
  <c r="E39" i="4"/>
  <c r="E38" i="4"/>
  <c r="E37" i="4"/>
  <c r="B32" i="4"/>
  <c r="F32" i="4"/>
  <c r="J31" i="4"/>
  <c r="J34" i="4" s="1"/>
  <c r="F31" i="4"/>
  <c r="F34" i="4" s="1"/>
  <c r="B31" i="4"/>
  <c r="N22" i="4"/>
  <c r="N21" i="4"/>
  <c r="J22" i="4"/>
  <c r="J21" i="4"/>
  <c r="F21" i="4"/>
  <c r="B22" i="4"/>
  <c r="B21" i="4"/>
  <c r="N12" i="4"/>
  <c r="J12" i="4"/>
  <c r="F12" i="4"/>
  <c r="B12" i="4"/>
  <c r="N32" i="4"/>
  <c r="N31" i="4"/>
  <c r="N34" i="4"/>
  <c r="B34" i="4" l="1"/>
  <c r="Z31" i="1"/>
  <c r="R31" i="1"/>
  <c r="AD31" i="1"/>
  <c r="AD32" i="1"/>
  <c r="Z32" i="1"/>
  <c r="V31" i="1"/>
  <c r="AD22" i="1"/>
  <c r="AD21" i="1"/>
  <c r="AD34" i="1" s="1"/>
  <c r="Z22" i="1"/>
  <c r="Z21" i="1"/>
  <c r="V22" i="1"/>
  <c r="V21" i="1"/>
  <c r="AD12" i="1"/>
  <c r="Z12" i="1"/>
  <c r="V12" i="1"/>
  <c r="V32" i="1"/>
  <c r="V34" i="1" l="1"/>
  <c r="Z34" i="1"/>
  <c r="R32" i="1"/>
  <c r="N32" i="1"/>
  <c r="N31" i="1"/>
  <c r="R22" i="1"/>
  <c r="R21" i="1"/>
  <c r="R34" i="1" s="1"/>
  <c r="N22" i="1"/>
  <c r="N21" i="1"/>
  <c r="N34" i="1" s="1"/>
  <c r="R12" i="1" l="1"/>
  <c r="N12" i="1"/>
  <c r="B31" i="1" l="1"/>
  <c r="F31" i="1"/>
  <c r="J31" i="1"/>
  <c r="J32" i="1"/>
  <c r="F32" i="1"/>
  <c r="B32" i="1"/>
  <c r="B21" i="1"/>
  <c r="B34" i="1" s="1"/>
  <c r="F21" i="1"/>
  <c r="F34" i="1" s="1"/>
  <c r="B22" i="1"/>
  <c r="F22" i="1"/>
  <c r="J22" i="1"/>
  <c r="J21" i="1"/>
  <c r="J12" i="1"/>
  <c r="F12" i="1"/>
  <c r="B12" i="1"/>
  <c r="J34" i="1" l="1"/>
</calcChain>
</file>

<file path=xl/sharedStrings.xml><?xml version="1.0" encoding="utf-8"?>
<sst xmlns="http://schemas.openxmlformats.org/spreadsheetml/2006/main" count="581" uniqueCount="339">
  <si>
    <t>Si Wafer</t>
  </si>
  <si>
    <t>Solutions prepared 11/07/2025</t>
  </si>
  <si>
    <t>Uncoated</t>
  </si>
  <si>
    <t>Total Thickness</t>
  </si>
  <si>
    <t>Bonded Thickness</t>
  </si>
  <si>
    <t>Average</t>
  </si>
  <si>
    <t>MSE = 2.673</t>
  </si>
  <si>
    <t>Native Oxide = 1.62 ± 0.011 nm</t>
  </si>
  <si>
    <t>MSE = 2.409</t>
  </si>
  <si>
    <t>Native Oxide = 1.62 ± 0.010 nm</t>
  </si>
  <si>
    <t>MSE = 2.394</t>
  </si>
  <si>
    <t>Native Oxide = 1.63 ± 0.010 nm</t>
  </si>
  <si>
    <t>MSE = 2.940</t>
  </si>
  <si>
    <t>Native Oxide = 1.62 ± 0.012 nm</t>
  </si>
  <si>
    <t>MSE = 3.566</t>
  </si>
  <si>
    <t>Native Oxide = 1.64 ± 0.015 nm</t>
  </si>
  <si>
    <t>MSE = 2.303</t>
  </si>
  <si>
    <t>Native Oxide = 1.62 ± 0.009 nm</t>
  </si>
  <si>
    <t>MSE = 2.435</t>
  </si>
  <si>
    <t>MSE = 2.444</t>
  </si>
  <si>
    <t>MSE = 2.782</t>
  </si>
  <si>
    <t>Native Oxide = 1.63 ± 0.011 nm</t>
  </si>
  <si>
    <t>MSE = 2.725</t>
  </si>
  <si>
    <t>Thickness # 2 = 0.98 ± 0.013 nm</t>
  </si>
  <si>
    <t>MSE = 2.227</t>
  </si>
  <si>
    <t>Thickness # 2 = 0.95 ± 0.011 nm</t>
  </si>
  <si>
    <t>MSE = 2.276</t>
  </si>
  <si>
    <t>Thickness # 2 = 0.94 ± 0.011 nm</t>
  </si>
  <si>
    <t>St.Dev.</t>
  </si>
  <si>
    <t>MSE = 2.666</t>
  </si>
  <si>
    <t>Thickness # 2 = 0.88 ± 0.013 nm</t>
  </si>
  <si>
    <t>MSE = 2.431</t>
  </si>
  <si>
    <t>Thickness # 2 = 0.88 ± 0.012 nm</t>
  </si>
  <si>
    <t>MSE = 2.505</t>
  </si>
  <si>
    <t>Thickness # 2 = 0.86 ± 0.012 nm</t>
  </si>
  <si>
    <t>MSE = 2.380</t>
  </si>
  <si>
    <t>Thickness # 2 = 0.76 ± 0.011 nm</t>
  </si>
  <si>
    <t>MSE = 2.472</t>
  </si>
  <si>
    <t>Thickness # 2 = 0.76 ± 0.012 nm</t>
  </si>
  <si>
    <t>MSE = 2.550</t>
  </si>
  <si>
    <t>Thickness # 2 = 0.77 ± 0.012 nm</t>
  </si>
  <si>
    <t>MSE = 2.548</t>
  </si>
  <si>
    <t>Thickness # 2 = 0.41 ± 0.012 nm</t>
  </si>
  <si>
    <t>Thickness # 2 = 0.40 ± 0.012 nm</t>
  </si>
  <si>
    <t>MSE = 2.186</t>
  </si>
  <si>
    <t>Thickness # 2 = 0.41 ± 0.011 nm</t>
  </si>
  <si>
    <t>MSE = 2.473</t>
  </si>
  <si>
    <t>Thickness # 2 = 0.38 ± 0.012 nm</t>
  </si>
  <si>
    <t>MSE = 2.359</t>
  </si>
  <si>
    <t>Thickness # 2 = 0.36 ± 0.011 nm</t>
  </si>
  <si>
    <t>MSE = 2.432</t>
  </si>
  <si>
    <t>MSE = 2.317</t>
  </si>
  <si>
    <t>Thickness # 2 = 0.35 ± 0.011 nm</t>
  </si>
  <si>
    <t>MSE = 2.526</t>
  </si>
  <si>
    <t>Thickness # 2 = 0.34 ± 0.012 nm</t>
  </si>
  <si>
    <t>MSE = 2.506</t>
  </si>
  <si>
    <t>Native Oxide = 1.47 ± 0.010 nm</t>
  </si>
  <si>
    <t>MSE = 2.458</t>
  </si>
  <si>
    <t>Native Oxide = 1.48 ± 0.010 nm</t>
  </si>
  <si>
    <t>MSE = 2.437</t>
  </si>
  <si>
    <t>MSE = 2.346</t>
  </si>
  <si>
    <t>MSE = 2.396</t>
  </si>
  <si>
    <t>MSE = 2.393</t>
  </si>
  <si>
    <t>Native Oxide = 1.49 ± 0.010 nm</t>
  </si>
  <si>
    <t>MSE = 3.022</t>
  </si>
  <si>
    <t>Thickness # 2 = 1.29 ± 0.015 nm</t>
  </si>
  <si>
    <t>MSE = 2.426</t>
  </si>
  <si>
    <t>Thickness # 2 = 1.28 ± 0.012 nm</t>
  </si>
  <si>
    <t>MSE = 2.267</t>
  </si>
  <si>
    <t>Thickness # 2 = 1.30 ± 0.011 nm</t>
  </si>
  <si>
    <t>MSE = 3.125</t>
  </si>
  <si>
    <t>Thickness # 2 = 2.02 ± 0.015 nm</t>
  </si>
  <si>
    <t>Thickness # 2 = 2.01 ± 0.011 nm</t>
  </si>
  <si>
    <t>MSE = 2.138</t>
  </si>
  <si>
    <t>Thickness # 2 = 2.01 ± 0.010 nm</t>
  </si>
  <si>
    <t>MSE = 2.723</t>
  </si>
  <si>
    <t>Thickness # 2 = 0.52 ± 0.013 nm</t>
  </si>
  <si>
    <t>MSE = 2.655</t>
  </si>
  <si>
    <t>Thickness # 2 = 0.51 ± 0.013 nm</t>
  </si>
  <si>
    <t>MSE = 2.461</t>
  </si>
  <si>
    <t>Thickness # 2 = 0.50 ± 0.012 nm</t>
  </si>
  <si>
    <t>MSE = 3.665</t>
  </si>
  <si>
    <t>Thickness # 2 = 0.60 ± 0.018 nm</t>
  </si>
  <si>
    <t>MSE = 2.374</t>
  </si>
  <si>
    <t>Thickness # 2 = 0.59 ± 0.011 nm</t>
  </si>
  <si>
    <t>MSE = 2.277</t>
  </si>
  <si>
    <t>Thickness # 2 = 0.57 ± 0.011 nm</t>
  </si>
  <si>
    <t>Bonded Thickness (nm)</t>
  </si>
  <si>
    <t>Total Thickness (nm)</t>
  </si>
  <si>
    <t>Concentration(g/L)</t>
  </si>
  <si>
    <t>0.76± 0.001</t>
  </si>
  <si>
    <t>0.87 ± 0.001</t>
  </si>
  <si>
    <t>0.34 ± 0.001</t>
  </si>
  <si>
    <t>0.37± 0.001</t>
  </si>
  <si>
    <t>0.96 ± 0.001</t>
  </si>
  <si>
    <t>0.41± 0.001</t>
  </si>
  <si>
    <t>1.29± 0.002</t>
  </si>
  <si>
    <t>0.51± 0.001</t>
  </si>
  <si>
    <t>2.01± 0.003</t>
  </si>
  <si>
    <t>0.59± 0.004</t>
  </si>
  <si>
    <t>uncoated</t>
  </si>
  <si>
    <t>total thickness</t>
  </si>
  <si>
    <t>bonded thickness</t>
  </si>
  <si>
    <t>MSE = 2.641</t>
  </si>
  <si>
    <t>Native Oxide = 1.44 ± 0.011 nm</t>
  </si>
  <si>
    <t>MSE = 2.438</t>
  </si>
  <si>
    <t>Native Oxide = 1.42 ± 0.010 nm</t>
  </si>
  <si>
    <t>MSE = 2.629</t>
  </si>
  <si>
    <t>MSE = 3.069</t>
  </si>
  <si>
    <t>Native Oxide = 1.43 ± 0.012 nm</t>
  </si>
  <si>
    <t>MSE = 2.900</t>
  </si>
  <si>
    <t>Native Oxide = 1.44 ± 0.012 nm</t>
  </si>
  <si>
    <t>MSE = 3.194</t>
  </si>
  <si>
    <t>Native Oxide = 1.43 ± 0.013 nm</t>
  </si>
  <si>
    <t>MSE = 2.502</t>
  </si>
  <si>
    <t>Native Oxide = 1.43 ± 0.010 nm</t>
  </si>
  <si>
    <t>MSE = 2.620</t>
  </si>
  <si>
    <t>MSE = 2.490</t>
  </si>
  <si>
    <t>Native Oxide = 1.44 ± 0.010 nm</t>
  </si>
  <si>
    <t xml:space="preserve"> </t>
  </si>
  <si>
    <t>MSE = 2.392</t>
  </si>
  <si>
    <t>Thickness # 2 = 3.55 ± 0.012 nm</t>
  </si>
  <si>
    <t>MSE = 2.354</t>
  </si>
  <si>
    <t>Thickness # 2 = 3.63 ± 0.011 nm</t>
  </si>
  <si>
    <t>MSE = 2.331</t>
  </si>
  <si>
    <t>Thickness # 2 = 3.61 ± 0.011 nm</t>
  </si>
  <si>
    <t>Thickness # 2 = 4.28 ± 0.012 nm</t>
  </si>
  <si>
    <t>MSE = 2.403</t>
  </si>
  <si>
    <t>Thickness # 2 = 4.21 ± 0.012 nm</t>
  </si>
  <si>
    <t>MSE = 2.744</t>
  </si>
  <si>
    <t>Thickness # 2 = 4.21 ± 0.013 nm</t>
  </si>
  <si>
    <t>MSE = 2.804</t>
  </si>
  <si>
    <t>Thickness # 2 = 6.45 ± 0.014 nm</t>
  </si>
  <si>
    <t>MSE = 2.517</t>
  </si>
  <si>
    <t>Thickness # 2 = 6.45 ± 0.012 nm</t>
  </si>
  <si>
    <t>MSE = 2.156</t>
  </si>
  <si>
    <t>Thickness # 2 = 6.55 ± 0.011 nm</t>
  </si>
  <si>
    <t>SAMPLES</t>
  </si>
  <si>
    <t>Solutions prepared 11/12/2025                                                       samples 11/13/2025</t>
  </si>
  <si>
    <t>MSE = 2.879</t>
  </si>
  <si>
    <t>Thickness # 2 = 0.57 ± 0.014 nm</t>
  </si>
  <si>
    <t>MSE = 2.768</t>
  </si>
  <si>
    <t>Thickness # 2 = 0.60 ± 0.013 nm</t>
  </si>
  <si>
    <t>MSE = 2.882</t>
  </si>
  <si>
    <t>MSE = 3.055</t>
  </si>
  <si>
    <t>Thickness # 2 = 0.55 ± 0.015 nm</t>
  </si>
  <si>
    <t>MSE = 3.210</t>
  </si>
  <si>
    <t>Thickness # 2 = 0.57 ± 0.015 nm</t>
  </si>
  <si>
    <t>MSE = 3.090</t>
  </si>
  <si>
    <t>3.6 ± 0.001</t>
  </si>
  <si>
    <t>0.58 ± 0.004</t>
  </si>
  <si>
    <t>4.23 ± 0.001</t>
  </si>
  <si>
    <t>0.56 ± 0.001</t>
  </si>
  <si>
    <t>6.48 ± 0.002</t>
  </si>
  <si>
    <t>MSE = 2.407</t>
  </si>
  <si>
    <t>Thickness # 2 = 0.55 ± 0.012 nm</t>
  </si>
  <si>
    <t>MSE = 3.514</t>
  </si>
  <si>
    <t>Thickness # 2 = 0.56 ± 0.017 nm</t>
  </si>
  <si>
    <t>MSE = 2.830</t>
  </si>
  <si>
    <t>Thickness # 2 = 0.56 ± 0.014 nm</t>
  </si>
  <si>
    <t>0.55 ± 0.002</t>
  </si>
  <si>
    <t>mobile layer</t>
  </si>
  <si>
    <t>Mobile layer</t>
  </si>
  <si>
    <t>Concentration (g/L)</t>
  </si>
  <si>
    <t>Mobile Layer (nm)</t>
  </si>
  <si>
    <t>MSE = 2.585</t>
  </si>
  <si>
    <t>Native Oxide = 1.55 ± 0.011 nm</t>
  </si>
  <si>
    <t>MSE = 2.638</t>
  </si>
  <si>
    <t>Native Oxide = 1.52 ± 0.011 nm</t>
  </si>
  <si>
    <t>MSE = 2.511</t>
  </si>
  <si>
    <t>Native Oxide = 1.50 ± 0.010 nm</t>
  </si>
  <si>
    <t>Native Oxide = 1.49 ± 0.011 nm</t>
  </si>
  <si>
    <t>MSE = 2.703</t>
  </si>
  <si>
    <t>MSE = 2.672</t>
  </si>
  <si>
    <t>Native Oxide = 1.48 ± 0.011 nm</t>
  </si>
  <si>
    <t>MSE = 2.715</t>
  </si>
  <si>
    <t>Native Oxide = 1.51 ± 0.011 nm</t>
  </si>
  <si>
    <t>MSE = 2.648</t>
  </si>
  <si>
    <t>Native Oxide = 1.50 ± 0.011 nm</t>
  </si>
  <si>
    <t>MSE = 2.827</t>
  </si>
  <si>
    <t>Native Oxide = 1.53 ± 0.012 nm</t>
  </si>
  <si>
    <t>MSE = 3.226</t>
  </si>
  <si>
    <t>Native Oxide = 1.48 ± 0.013 nm</t>
  </si>
  <si>
    <t>MSE = 2.743</t>
  </si>
  <si>
    <t>Native Oxide = 1.47 ± 0.011 nm</t>
  </si>
  <si>
    <t>MSE = 2.669</t>
  </si>
  <si>
    <t>MSE = 2.327</t>
  </si>
  <si>
    <t>Thickness # 2 = 2.71 ± 0.011 nm</t>
  </si>
  <si>
    <t>MSE = 2.677</t>
  </si>
  <si>
    <t>Thickness # 2 = 2.69 ± 0.013 nm</t>
  </si>
  <si>
    <t>Thickness # 2 = 2.68 ± 0.013 nm</t>
  </si>
  <si>
    <t>Thickness # 2 = 3.51 ± 0.012 nm</t>
  </si>
  <si>
    <t>MSE = 2.462</t>
  </si>
  <si>
    <t>Thickness # 2 = 3.50 ± 0.012 nm</t>
  </si>
  <si>
    <t>MSE = 2.470</t>
  </si>
  <si>
    <t>Thickness # 2 = 3.53 ± 0.012 nm</t>
  </si>
  <si>
    <t>MSE = 2.318</t>
  </si>
  <si>
    <t>Thickness # 2 = 9.80 ± 0.012 nm</t>
  </si>
  <si>
    <t>MSE = 2.155</t>
  </si>
  <si>
    <t>Thickness # 2 = 9.86 ± 0.011 nm</t>
  </si>
  <si>
    <t>MSE = 2.127</t>
  </si>
  <si>
    <t>Thickness # 2 = 9.76 ± 0.011 nm</t>
  </si>
  <si>
    <t>MSE = 2.467</t>
  </si>
  <si>
    <t>Thickness # 2 = 13.17 ± 0.013 nm</t>
  </si>
  <si>
    <t>MSE = 2.422</t>
  </si>
  <si>
    <t>Thickness # 2 = 13.10 ± 0.012 nm</t>
  </si>
  <si>
    <t>MSE = 2.468</t>
  </si>
  <si>
    <t>Thickness # 2 = 13.26 ± 0.013 nm</t>
  </si>
  <si>
    <t>MSE = 2.498</t>
  </si>
  <si>
    <t>Thickness # 2 = 0.49 ± 0.012 nm</t>
  </si>
  <si>
    <t>MSE = 2.522</t>
  </si>
  <si>
    <t>Thickness # 2 = 0.47 ± 0.012 nm</t>
  </si>
  <si>
    <t>MSE = 2.864</t>
  </si>
  <si>
    <t>Thickness # 2 = 0.47 ± 0.014 nm</t>
  </si>
  <si>
    <t>MSE = 2.809</t>
  </si>
  <si>
    <t>Thickness # 2 = 0.53 ± 0.014 nm</t>
  </si>
  <si>
    <t>MSE = 2.944</t>
  </si>
  <si>
    <t>Thickness # 2 = 0.54 ± 0.014 nm</t>
  </si>
  <si>
    <t>MSE = 2.737</t>
  </si>
  <si>
    <t>Thickness # 2 = 0.54 ± 0.013 nm</t>
  </si>
  <si>
    <t>MSE = 2.640</t>
  </si>
  <si>
    <t>Thickness # 2 = 0.50 ± 0.013 nm</t>
  </si>
  <si>
    <t>MSE = 2.705</t>
  </si>
  <si>
    <t>Thickness # 2 = 0.53 ± 0.013 nm</t>
  </si>
  <si>
    <t>MSE = 2.606</t>
  </si>
  <si>
    <t>MSE = 2.601</t>
  </si>
  <si>
    <t>Thickness # 2 = 0.46 ± 0.013 nm</t>
  </si>
  <si>
    <t>Total err (nm)</t>
  </si>
  <si>
    <t>Bonded err (nm)</t>
  </si>
  <si>
    <t>Mobile layer (nm)</t>
  </si>
  <si>
    <t>MSE = 3.391</t>
  </si>
  <si>
    <t>Native Oxide = 1.49 ± 0.014 nm</t>
  </si>
  <si>
    <t>MSE = 2.692</t>
  </si>
  <si>
    <t>MSE = 2.764</t>
  </si>
  <si>
    <t>MSE = 3.072</t>
  </si>
  <si>
    <t>MSE = 3.187</t>
  </si>
  <si>
    <t>Native Oxide = 1.50 ± 0.013 nm</t>
  </si>
  <si>
    <t>MSE = 2.868</t>
  </si>
  <si>
    <t>Native Oxide = 1.48 ± 0.012 nm</t>
  </si>
  <si>
    <t>MSE = 2.801</t>
  </si>
  <si>
    <t>MSE = 3.139</t>
  </si>
  <si>
    <t>Native Oxide = 1.45 ± 0.013 nm</t>
  </si>
  <si>
    <t>MSE = 2.928</t>
  </si>
  <si>
    <t>Native Oxide = 1.47 ± 0.012 nm</t>
  </si>
  <si>
    <t>MSE = 2.765</t>
  </si>
  <si>
    <t>Thickness # 2 = 0.57 ± 0.013 nm</t>
  </si>
  <si>
    <t>MSE = 2.514</t>
  </si>
  <si>
    <t>Thickness # 2 = 0.58 ± 0.012 nm</t>
  </si>
  <si>
    <t>MSE = 2.535</t>
  </si>
  <si>
    <t>Thickness # 2 = 0.56 ± 0.012 nm</t>
  </si>
  <si>
    <t>MSE = 3.509</t>
  </si>
  <si>
    <t>Thickness # 2 = 0.62 ± 0.017 nm</t>
  </si>
  <si>
    <t>MSE = 2.824</t>
  </si>
  <si>
    <t>Thickness # 2 = 0.61 ± 0.014 nm</t>
  </si>
  <si>
    <t>Thickness # 2 = 0.62 ± 0.013 nm</t>
  </si>
  <si>
    <t>MSE = 3.088</t>
  </si>
  <si>
    <t>Thickness # 2 = 0.69 ± 0.015 nm</t>
  </si>
  <si>
    <t>MSE = 3.100</t>
  </si>
  <si>
    <t>Thickness # 2 = 0.68 ± 0.015 nm</t>
  </si>
  <si>
    <t>MSE = 3.274</t>
  </si>
  <si>
    <t>Thickness # 2 = 0.68 ± 0.016 nm</t>
  </si>
  <si>
    <t>MSE = 2.430</t>
  </si>
  <si>
    <t>Thickness # 2 = 0.48 ± 0.012 nm</t>
  </si>
  <si>
    <t>MSE = 3.218</t>
  </si>
  <si>
    <t>Thickness # 2 = 0.47 ± 0.015 nm</t>
  </si>
  <si>
    <t>MSE = 3.020</t>
  </si>
  <si>
    <t>MSE = 3.021</t>
  </si>
  <si>
    <t>MSE = 2.833</t>
  </si>
  <si>
    <t>Thickness # 2 = 0.46 ± 0.014 nm</t>
  </si>
  <si>
    <t>MSE = 2.671</t>
  </si>
  <si>
    <t>Thickness # 2 = 0.45 ± 0.013 nm</t>
  </si>
  <si>
    <t>MSE = 2.632</t>
  </si>
  <si>
    <t>MSE = 2.746</t>
  </si>
  <si>
    <t>Thickness # 2 = 0.47 ± 0.013 nm</t>
  </si>
  <si>
    <t>MSE = 2.647</t>
  </si>
  <si>
    <t>MSE = 3.275</t>
  </si>
  <si>
    <t>MSE = 3.316</t>
  </si>
  <si>
    <t>MSE = 2.684</t>
  </si>
  <si>
    <t>MSE = 3.056</t>
  </si>
  <si>
    <t>MSE = 2.731</t>
  </si>
  <si>
    <t>MSE = 2.660</t>
  </si>
  <si>
    <t>Thickness # 2 = 0.71 ± 0.015 nm</t>
  </si>
  <si>
    <t>MSE = 2.839</t>
  </si>
  <si>
    <t>Thickness # 2 = 0.72 ± 0.016 nm</t>
  </si>
  <si>
    <t>MSE = 2.652</t>
  </si>
  <si>
    <t>Thickness # 2 = 0.72 ± 0.015 nm</t>
  </si>
  <si>
    <t>MSE = 2.859</t>
  </si>
  <si>
    <t>Thickness # 2 = 0.79 ± 0.016 nm</t>
  </si>
  <si>
    <t>MSE = 3.068</t>
  </si>
  <si>
    <t>Thickness # 2 = 0.81 ± 0.018 nm</t>
  </si>
  <si>
    <t>MSE = 3.042</t>
  </si>
  <si>
    <t>Thickness # 2 = 0.79 ± 0.017 nm</t>
  </si>
  <si>
    <t>MSE = 2.857</t>
  </si>
  <si>
    <t>Thickness # 2 = 0.82 ± 0.016 nm</t>
  </si>
  <si>
    <t>MSE = 2.747</t>
  </si>
  <si>
    <t>Thickness # 2 = 0.83 ± 0.016 nm</t>
  </si>
  <si>
    <t>MSE = 2.805</t>
  </si>
  <si>
    <t>MSE = 2.728</t>
  </si>
  <si>
    <t>Thickness # 2 = 0.88 ± 0.016 nm</t>
  </si>
  <si>
    <t>MSE = 2.761</t>
  </si>
  <si>
    <t>Thickness # 2 = 0.87 ± 0.016 nm</t>
  </si>
  <si>
    <t>MSE = 2.690</t>
  </si>
  <si>
    <t>Thickness # 2 = 0.88 ± 0.015 nm</t>
  </si>
  <si>
    <t>MSE = 2.676</t>
  </si>
  <si>
    <t>Thickness # 2 = 0.67 ± 0.015 nm</t>
  </si>
  <si>
    <t>MSE = 2.822</t>
  </si>
  <si>
    <t>Thickness # 2 = 0.66 ± 0.016 nm</t>
  </si>
  <si>
    <t>MSE = 2.776</t>
  </si>
  <si>
    <t>Thickness # 2 = 0.67 ± 0.016 nm</t>
  </si>
  <si>
    <t>MSE = 2.795</t>
  </si>
  <si>
    <t>Thickness # 2 = 0.65 ± 0.016 nm</t>
  </si>
  <si>
    <t>MSE = 2.883</t>
  </si>
  <si>
    <t>Thickness # 2 = 0.63 ± 0.016 nm</t>
  </si>
  <si>
    <t>MSE = 2.615</t>
  </si>
  <si>
    <t>Thickness # 2 = 0.65 ± 0.015 nm</t>
  </si>
  <si>
    <t>MSE = 3.280</t>
  </si>
  <si>
    <t>Thickness # 2 = 0.69 ± 0.019 nm</t>
  </si>
  <si>
    <t>MSE = 3.161</t>
  </si>
  <si>
    <t>Thickness # 2 = 0.68 ± 0.018 nm</t>
  </si>
  <si>
    <t>MSE = 2.665</t>
  </si>
  <si>
    <t>MSE = 2.828</t>
  </si>
  <si>
    <t>Thickness # 2 = 0.54 ± 0.016 nm</t>
  </si>
  <si>
    <t>Thickness # 2 = 0.55 ± 0.016 nm</t>
  </si>
  <si>
    <t>MSE = 2.707</t>
  </si>
  <si>
    <t>Native Oxide = 1.45 ± 0.011 nm</t>
  </si>
  <si>
    <t>MSE = 2.745</t>
  </si>
  <si>
    <t>Native Oxide = 1.46 ± 0.011 nm</t>
  </si>
  <si>
    <t>MSE = 2.736</t>
  </si>
  <si>
    <t>Thickness # 2 = 0.90 ± 0.016 nm</t>
  </si>
  <si>
    <t>MSE = 2.945</t>
  </si>
  <si>
    <t>Thickness # 2 = 0.90 ± 0.017 nm</t>
  </si>
  <si>
    <t>MSE = 2.818</t>
  </si>
  <si>
    <t>MSE = 2.727</t>
  </si>
  <si>
    <t>Thickness # 2 = 0.59 ± 0.016 nm</t>
  </si>
  <si>
    <t>MSE = 2.688</t>
  </si>
  <si>
    <t>Thickness # 2 = 0.61 ± 0.015 nm</t>
  </si>
  <si>
    <t>MSE = 2.820</t>
  </si>
  <si>
    <t>MSE = 2.539</t>
  </si>
  <si>
    <t>MSE = 2.445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</si>
</sst>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3" borderId="0" xfId="0" applyFill="1"/>
    <xf numFmtId="2" fontId="0" fillId="3" borderId="0" xfId="0" applyNumberFormat="1" applyFill="1"/>
    <xf numFmtId="164" fontId="0" fillId="3" borderId="0" xfId="0" applyNumberFormat="1" applyFill="1"/>
    <xf numFmtId="0" fontId="0" fillId="2" borderId="0" xfId="0" applyFill="1"/>
    <xf numFmtId="0" fontId="0" fillId="5" borderId="0" xfId="0" applyFill="1"/>
    <xf numFmtId="14" fontId="0" fillId="5" borderId="0" xfId="0" applyNumberFormat="1" applyFill="1"/>
    <xf numFmtId="0" fontId="1" fillId="6" borderId="0" xfId="0" applyFont="1" applyFill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2" fontId="0" fillId="0" borderId="0" xfId="0" applyNumberFormat="1"/>
    <xf numFmtId="0" fontId="2" fillId="0" borderId="1" xfId="0" applyFont="1" applyBorder="1" applyAlignment="1">
      <alignment horizontal="center" vertical="top"/>
    </xf>
    <xf numFmtId="14" fontId="0" fillId="0" borderId="0" xfId="0" applyNumberFormat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0" xfId="0" applyFont="1" applyBorder="1" applyAlignment="1">
      <alignment horizontal="center" vertical="top"/>
    </xf>
    <xf numFmtId="0" fontId="0" fillId="2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sharedStrings" Target="sharedStrings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endParaRPr lang="en-US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3200705664387108"/>
          <c:y val="0.14004714536074844"/>
          <c:w val="0.67503364847560143"/>
          <c:h val="0.7095710019006245"/>
        </c:manualLayout>
      </c:layout>
      <c:lineChart>
        <c:grouping val="standard"/>
        <c:varyColors val="0"/>
        <c:ser>
          <c:idx val="0"/>
          <c:order val="0"/>
          <c:tx>
            <c:strRef>
              <c:f>'[1]PDMS Data'!$B$1</c:f>
              <c:strCache>
                <c:ptCount val="1"/>
                <c:pt idx="0">
                  <c:v>Total Thickness (nm)</c:v>
                </c:pt>
              </c:strCache>
            </c:strRef>
          </c:tx>
          <c:spPr>
            <a:ln>
              <a:prstDash val="solid"/>
            </a:ln>
          </c:spPr>
          <c:marker>
            <c:spPr>
              <a:ln>
                <a:prstDash val="solid"/>
              </a:ln>
            </c:spPr>
          </c:marker>
          <c:cat>
            <c:numRef>
              <c:f>'[1]PDMS Data'!$A$2:$A$9</c:f>
              <c:numCache>
                <c:formatCode>General</c:formatCode>
                <c:ptCount val="8"/>
                <c:pt idx="0">
                  <c:v>0.1</c:v>
                </c:pt>
                <c:pt idx="1">
                  <c:v>0.15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  <c:pt idx="5">
                  <c:v>2.5</c:v>
                </c:pt>
                <c:pt idx="6">
                  <c:v>3</c:v>
                </c:pt>
                <c:pt idx="7">
                  <c:v>5</c:v>
                </c:pt>
              </c:numCache>
            </c:numRef>
          </c:cat>
          <c:val>
            <c:numRef>
              <c:f>'[1]PDMS Data'!$B$2:$B$9</c:f>
              <c:numCache>
                <c:formatCode>General</c:formatCode>
                <c:ptCount val="8"/>
                <c:pt idx="0">
                  <c:v>0.76</c:v>
                </c:pt>
                <c:pt idx="1">
                  <c:v>0.87</c:v>
                </c:pt>
                <c:pt idx="2">
                  <c:v>0.96</c:v>
                </c:pt>
                <c:pt idx="3">
                  <c:v>1.29</c:v>
                </c:pt>
                <c:pt idx="4">
                  <c:v>2.0099999999999998</c:v>
                </c:pt>
                <c:pt idx="5">
                  <c:v>3.6</c:v>
                </c:pt>
                <c:pt idx="6">
                  <c:v>4.2300000000000004</c:v>
                </c:pt>
                <c:pt idx="7">
                  <c:v>6.48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986-B84F-A567-40BA1DFC23B6}"/>
            </c:ext>
          </c:extLst>
        </c:ser>
        <c:ser>
          <c:idx val="1"/>
          <c:order val="1"/>
          <c:tx>
            <c:strRef>
              <c:f>'[1]PDMS Data'!$C$1</c:f>
              <c:strCache>
                <c:ptCount val="1"/>
                <c:pt idx="0">
                  <c:v>Bonded Thickness (nm)</c:v>
                </c:pt>
              </c:strCache>
            </c:strRef>
          </c:tx>
          <c:spPr>
            <a:ln>
              <a:prstDash val="solid"/>
            </a:ln>
          </c:spPr>
          <c:marker>
            <c:spPr>
              <a:ln>
                <a:prstDash val="solid"/>
              </a:ln>
            </c:spPr>
          </c:marker>
          <c:cat>
            <c:numRef>
              <c:f>'[1]PDMS Data'!$A$2:$A$9</c:f>
              <c:numCache>
                <c:formatCode>General</c:formatCode>
                <c:ptCount val="8"/>
                <c:pt idx="0">
                  <c:v>0.1</c:v>
                </c:pt>
                <c:pt idx="1">
                  <c:v>0.15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  <c:pt idx="5">
                  <c:v>2.5</c:v>
                </c:pt>
                <c:pt idx="6">
                  <c:v>3</c:v>
                </c:pt>
                <c:pt idx="7">
                  <c:v>5</c:v>
                </c:pt>
              </c:numCache>
            </c:numRef>
          </c:cat>
          <c:val>
            <c:numRef>
              <c:f>'[1]PDMS Data'!$C$2:$C$9</c:f>
              <c:numCache>
                <c:formatCode>General</c:formatCode>
                <c:ptCount val="8"/>
                <c:pt idx="0">
                  <c:v>0.34</c:v>
                </c:pt>
                <c:pt idx="1">
                  <c:v>0.37</c:v>
                </c:pt>
                <c:pt idx="2">
                  <c:v>0.41</c:v>
                </c:pt>
                <c:pt idx="3">
                  <c:v>0.51</c:v>
                </c:pt>
                <c:pt idx="4">
                  <c:v>0.59</c:v>
                </c:pt>
                <c:pt idx="5">
                  <c:v>0.57999999999999996</c:v>
                </c:pt>
                <c:pt idx="6">
                  <c:v>0.56000000000000005</c:v>
                </c:pt>
                <c:pt idx="7">
                  <c:v>0.55000000000000004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A986-B84F-A567-40BA1DFC23B6}"/>
            </c:ext>
          </c:extLst>
        </c:ser>
        <c:ser>
          <c:idx val="2"/>
          <c:order val="2"/>
          <c:tx>
            <c:strRef>
              <c:f>'[1]PDMS Data'!$D$1</c:f>
              <c:strCache>
                <c:ptCount val="1"/>
                <c:pt idx="0">
                  <c:v>Mobile Layer (nm)</c:v>
                </c:pt>
              </c:strCache>
            </c:strRef>
          </c:tx>
          <c:spPr>
            <a:ln>
              <a:prstDash val="solid"/>
            </a:ln>
          </c:spPr>
          <c:marker>
            <c:spPr>
              <a:ln>
                <a:prstDash val="solid"/>
              </a:ln>
            </c:spPr>
          </c:marker>
          <c:cat>
            <c:numRef>
              <c:f>'[1]PDMS Data'!$A$2:$A$9</c:f>
              <c:numCache>
                <c:formatCode>General</c:formatCode>
                <c:ptCount val="8"/>
                <c:pt idx="0">
                  <c:v>0.1</c:v>
                </c:pt>
                <c:pt idx="1">
                  <c:v>0.15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  <c:pt idx="5">
                  <c:v>2.5</c:v>
                </c:pt>
                <c:pt idx="6">
                  <c:v>3</c:v>
                </c:pt>
                <c:pt idx="7">
                  <c:v>5</c:v>
                </c:pt>
              </c:numCache>
            </c:numRef>
          </c:cat>
          <c:val>
            <c:numRef>
              <c:f>'[1]PDMS Data'!$D$2:$D$9</c:f>
              <c:numCache>
                <c:formatCode>General</c:formatCode>
                <c:ptCount val="8"/>
                <c:pt idx="0">
                  <c:v>0.42</c:v>
                </c:pt>
                <c:pt idx="1">
                  <c:v>0.5</c:v>
                </c:pt>
                <c:pt idx="2">
                  <c:v>0.55000000000000004</c:v>
                </c:pt>
                <c:pt idx="3">
                  <c:v>0.78</c:v>
                </c:pt>
                <c:pt idx="4">
                  <c:v>1.43</c:v>
                </c:pt>
                <c:pt idx="5">
                  <c:v>3.02</c:v>
                </c:pt>
                <c:pt idx="6">
                  <c:v>3.67</c:v>
                </c:pt>
                <c:pt idx="7">
                  <c:v>5.93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A986-B84F-A567-40BA1DFC23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911680"/>
        <c:axId val="51914240"/>
      </c:lineChart>
      <c:catAx>
        <c:axId val="51911680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0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r>
                  <a:rPr lang="en-US" sz="1200" b="0">
                    <a:latin typeface="Arial" panose="020B0604020202020204" pitchFamily="34" charset="0"/>
                    <a:cs typeface="Arial" panose="020B0604020202020204" pitchFamily="34" charset="0"/>
                  </a:rPr>
                  <a:t>Concentration (g/L)</a:t>
                </a:r>
              </a:p>
            </c:rich>
          </c:tx>
          <c:layout>
            <c:manualLayout>
              <c:xMode val="edge"/>
              <c:yMode val="edge"/>
              <c:x val="0.40083282858873404"/>
              <c:y val="0.93974276906159793"/>
            </c:manualLayout>
          </c:layout>
          <c:overlay val="0"/>
        </c:title>
        <c:numFmt formatCode="General" sourceLinked="1"/>
        <c:majorTickMark val="in"/>
        <c:minorTickMark val="in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sz="12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51914240"/>
        <c:crosses val="autoZero"/>
        <c:auto val="0"/>
        <c:lblAlgn val="ctr"/>
        <c:lblOffset val="100"/>
        <c:noMultiLvlLbl val="0"/>
      </c:catAx>
      <c:valAx>
        <c:axId val="51914240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200" b="0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r>
                  <a:rPr lang="en-US" sz="1200" b="0">
                    <a:latin typeface="Arial" panose="020B0604020202020204" pitchFamily="34" charset="0"/>
                    <a:cs typeface="Arial" panose="020B0604020202020204" pitchFamily="34" charset="0"/>
                  </a:rPr>
                  <a:t>Thickness (nm)</a:t>
                </a:r>
              </a:p>
            </c:rich>
          </c:tx>
          <c:layout>
            <c:manualLayout>
              <c:xMode val="edge"/>
              <c:yMode val="edge"/>
              <c:x val="4.4982698961937718E-2"/>
              <c:y val="0.34745809986917781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sz="12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51911680"/>
        <c:crossesAt val="0"/>
        <c:crossBetween val="midCat"/>
      </c:valAx>
    </c:plotArea>
    <c:legend>
      <c:legendPos val="r"/>
      <c:layout>
        <c:manualLayout>
          <c:xMode val="edge"/>
          <c:yMode val="edge"/>
          <c:x val="0.13848224927219085"/>
          <c:y val="0.15803071062501228"/>
          <c:w val="0.29197446317969561"/>
          <c:h val="0.17005874657517339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200705664387108"/>
          <c:y val="0.14004714536074844"/>
          <c:w val="0.67503364847560143"/>
          <c:h val="0.7095710019006245"/>
        </c:manualLayout>
      </c:layout>
      <c:lineChart>
        <c:grouping val="standard"/>
        <c:varyColors val="0"/>
        <c:ser>
          <c:idx val="0"/>
          <c:order val="0"/>
          <c:tx>
            <c:strRef>
              <c:f>'[1]PDMS Data'!$B$1</c:f>
              <c:strCache>
                <c:ptCount val="1"/>
                <c:pt idx="0">
                  <c:v>Total Thickness (nm)</c:v>
                </c:pt>
              </c:strCache>
            </c:strRef>
          </c:tx>
          <c:spPr>
            <a:ln>
              <a:prstDash val="solid"/>
            </a:ln>
          </c:spPr>
          <c:marker>
            <c:spPr>
              <a:ln>
                <a:prstDash val="solid"/>
              </a:ln>
            </c:spPr>
          </c:marker>
          <c:cat>
            <c:numRef>
              <c:f>'[1]PDMS Data'!$A$2:$A$9</c:f>
              <c:numCache>
                <c:formatCode>General</c:formatCode>
                <c:ptCount val="8"/>
                <c:pt idx="0">
                  <c:v>0.1</c:v>
                </c:pt>
                <c:pt idx="1">
                  <c:v>0.15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  <c:pt idx="5">
                  <c:v>2.5</c:v>
                </c:pt>
                <c:pt idx="6">
                  <c:v>3</c:v>
                </c:pt>
                <c:pt idx="7">
                  <c:v>5</c:v>
                </c:pt>
              </c:numCache>
            </c:numRef>
          </c:cat>
          <c:val>
            <c:numRef>
              <c:f>'[1]PDMS Data'!$B$2:$B$9</c:f>
              <c:numCache>
                <c:formatCode>General</c:formatCode>
                <c:ptCount val="8"/>
                <c:pt idx="0">
                  <c:v>0.76</c:v>
                </c:pt>
                <c:pt idx="1">
                  <c:v>0.87</c:v>
                </c:pt>
                <c:pt idx="2">
                  <c:v>0.96</c:v>
                </c:pt>
                <c:pt idx="3">
                  <c:v>1.29</c:v>
                </c:pt>
                <c:pt idx="4">
                  <c:v>2.0099999999999998</c:v>
                </c:pt>
                <c:pt idx="5">
                  <c:v>3.6</c:v>
                </c:pt>
                <c:pt idx="6">
                  <c:v>4.2300000000000004</c:v>
                </c:pt>
                <c:pt idx="7">
                  <c:v>6.48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659-6747-84F6-18980F779C3A}"/>
            </c:ext>
          </c:extLst>
        </c:ser>
        <c:ser>
          <c:idx val="1"/>
          <c:order val="1"/>
          <c:tx>
            <c:strRef>
              <c:f>'[1]PDMS Data'!$C$1</c:f>
              <c:strCache>
                <c:ptCount val="1"/>
                <c:pt idx="0">
                  <c:v>Bonded Thickness (nm)</c:v>
                </c:pt>
              </c:strCache>
            </c:strRef>
          </c:tx>
          <c:spPr>
            <a:ln>
              <a:prstDash val="solid"/>
            </a:ln>
          </c:spPr>
          <c:marker>
            <c:spPr>
              <a:ln>
                <a:prstDash val="solid"/>
              </a:ln>
            </c:spPr>
          </c:marker>
          <c:cat>
            <c:numRef>
              <c:f>'[1]PDMS Data'!$A$2:$A$9</c:f>
              <c:numCache>
                <c:formatCode>General</c:formatCode>
                <c:ptCount val="8"/>
                <c:pt idx="0">
                  <c:v>0.1</c:v>
                </c:pt>
                <c:pt idx="1">
                  <c:v>0.15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  <c:pt idx="5">
                  <c:v>2.5</c:v>
                </c:pt>
                <c:pt idx="6">
                  <c:v>3</c:v>
                </c:pt>
                <c:pt idx="7">
                  <c:v>5</c:v>
                </c:pt>
              </c:numCache>
            </c:numRef>
          </c:cat>
          <c:val>
            <c:numRef>
              <c:f>'[1]PDMS Data'!$C$2:$C$9</c:f>
              <c:numCache>
                <c:formatCode>General</c:formatCode>
                <c:ptCount val="8"/>
                <c:pt idx="0">
                  <c:v>0.34</c:v>
                </c:pt>
                <c:pt idx="1">
                  <c:v>0.37</c:v>
                </c:pt>
                <c:pt idx="2">
                  <c:v>0.41</c:v>
                </c:pt>
                <c:pt idx="3">
                  <c:v>0.51</c:v>
                </c:pt>
                <c:pt idx="4">
                  <c:v>0.59</c:v>
                </c:pt>
                <c:pt idx="5">
                  <c:v>0.57999999999999996</c:v>
                </c:pt>
                <c:pt idx="6">
                  <c:v>0.56000000000000005</c:v>
                </c:pt>
                <c:pt idx="7">
                  <c:v>0.55000000000000004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0659-6747-84F6-18980F779C3A}"/>
            </c:ext>
          </c:extLst>
        </c:ser>
        <c:ser>
          <c:idx val="2"/>
          <c:order val="2"/>
          <c:tx>
            <c:strRef>
              <c:f>'[1]PDMS Data'!$D$1</c:f>
              <c:strCache>
                <c:ptCount val="1"/>
                <c:pt idx="0">
                  <c:v>Mobile Layer (nm)</c:v>
                </c:pt>
              </c:strCache>
            </c:strRef>
          </c:tx>
          <c:spPr>
            <a:ln>
              <a:prstDash val="solid"/>
            </a:ln>
          </c:spPr>
          <c:marker>
            <c:spPr>
              <a:ln>
                <a:prstDash val="solid"/>
              </a:ln>
            </c:spPr>
          </c:marker>
          <c:cat>
            <c:numRef>
              <c:f>'[1]PDMS Data'!$A$2:$A$9</c:f>
              <c:numCache>
                <c:formatCode>General</c:formatCode>
                <c:ptCount val="8"/>
                <c:pt idx="0">
                  <c:v>0.1</c:v>
                </c:pt>
                <c:pt idx="1">
                  <c:v>0.15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  <c:pt idx="5">
                  <c:v>2.5</c:v>
                </c:pt>
                <c:pt idx="6">
                  <c:v>3</c:v>
                </c:pt>
                <c:pt idx="7">
                  <c:v>5</c:v>
                </c:pt>
              </c:numCache>
            </c:numRef>
          </c:cat>
          <c:val>
            <c:numRef>
              <c:f>'[1]PDMS Data'!$D$2:$D$9</c:f>
              <c:numCache>
                <c:formatCode>General</c:formatCode>
                <c:ptCount val="8"/>
                <c:pt idx="0">
                  <c:v>0.42</c:v>
                </c:pt>
                <c:pt idx="1">
                  <c:v>0.5</c:v>
                </c:pt>
                <c:pt idx="2">
                  <c:v>0.55000000000000004</c:v>
                </c:pt>
                <c:pt idx="3">
                  <c:v>0.78</c:v>
                </c:pt>
                <c:pt idx="4">
                  <c:v>1.43</c:v>
                </c:pt>
                <c:pt idx="5">
                  <c:v>3.02</c:v>
                </c:pt>
                <c:pt idx="6">
                  <c:v>3.67</c:v>
                </c:pt>
                <c:pt idx="7">
                  <c:v>5.93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0659-6747-84F6-18980F779C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950336"/>
        <c:axId val="51952640"/>
      </c:lineChart>
      <c:catAx>
        <c:axId val="51950336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0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r>
                  <a:rPr lang="en-US" sz="1200" b="0">
                    <a:latin typeface="Arial" panose="020B0604020202020204" pitchFamily="34" charset="0"/>
                    <a:cs typeface="Arial" panose="020B0604020202020204" pitchFamily="34" charset="0"/>
                  </a:rPr>
                  <a:t>Concentration (g/L)</a:t>
                </a:r>
              </a:p>
            </c:rich>
          </c:tx>
          <c:layout>
            <c:manualLayout>
              <c:xMode val="edge"/>
              <c:yMode val="edge"/>
              <c:x val="0.40083282858873404"/>
              <c:y val="0.93974276906159793"/>
            </c:manualLayout>
          </c:layout>
          <c:overlay val="0"/>
        </c:title>
        <c:numFmt formatCode="General" sourceLinked="1"/>
        <c:majorTickMark val="in"/>
        <c:minorTickMark val="in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sz="12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51952640"/>
        <c:crosses val="autoZero"/>
        <c:auto val="0"/>
        <c:lblAlgn val="ctr"/>
        <c:lblOffset val="100"/>
        <c:noMultiLvlLbl val="0"/>
      </c:catAx>
      <c:valAx>
        <c:axId val="51952640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200" b="0">
                    <a:latin typeface="Arial" panose="020B0604020202020204" pitchFamily="34" charset="0"/>
                    <a:cs typeface="Arial" panose="020B0604020202020204" pitchFamily="34" charset="0"/>
                  </a:defRPr>
                </a:pPr>
                <a:r>
                  <a:rPr lang="en-US" sz="1200" b="0">
                    <a:latin typeface="Arial" panose="020B0604020202020204" pitchFamily="34" charset="0"/>
                    <a:cs typeface="Arial" panose="020B0604020202020204" pitchFamily="34" charset="0"/>
                  </a:rPr>
                  <a:t>Thickness (nm)</a:t>
                </a:r>
              </a:p>
            </c:rich>
          </c:tx>
          <c:layout>
            <c:manualLayout>
              <c:xMode val="edge"/>
              <c:yMode val="edge"/>
              <c:x val="4.4982698961937718E-2"/>
              <c:y val="0.34745809986917781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tx1"/>
            </a:solidFill>
          </a:ln>
        </c:spPr>
        <c:txPr>
          <a:bodyPr/>
          <a:lstStyle/>
          <a:p>
            <a:pPr>
              <a:defRPr sz="12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en-US"/>
          </a:p>
        </c:txPr>
        <c:crossAx val="51950336"/>
        <c:crossesAt val="0"/>
        <c:crossBetween val="midCat"/>
      </c:valAx>
    </c:plotArea>
    <c:legend>
      <c:legendPos val="r"/>
      <c:layout>
        <c:manualLayout>
          <c:xMode val="edge"/>
          <c:yMode val="edge"/>
          <c:x val="0.13848224927219085"/>
          <c:y val="0.15803071062501228"/>
          <c:w val="0.29197446317969561"/>
          <c:h val="0.17005874657517339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'[2]Hexane Data'!$B$1</c:f>
              <c:strCache>
                <c:ptCount val="1"/>
                <c:pt idx="0">
                  <c:v>Total Thickness (nm)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'[2]Hexane Data'!$A$2:$A$6</c:f>
              <c:numCache>
                <c:formatCode>General</c:formatCode>
                <c:ptCount val="5"/>
                <c:pt idx="0">
                  <c:v>0.1</c:v>
                </c:pt>
                <c:pt idx="1">
                  <c:v>0.15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</c:numCache>
            </c:numRef>
          </c:cat>
          <c:val>
            <c:numRef>
              <c:f>'[2]Hexane Data'!$B$2:$B$6</c:f>
              <c:numCache>
                <c:formatCode>General</c:formatCode>
                <c:ptCount val="5"/>
                <c:pt idx="0">
                  <c:v>0.76</c:v>
                </c:pt>
                <c:pt idx="1">
                  <c:v>0.87</c:v>
                </c:pt>
                <c:pt idx="2">
                  <c:v>0.96</c:v>
                </c:pt>
                <c:pt idx="3">
                  <c:v>1.29</c:v>
                </c:pt>
                <c:pt idx="4">
                  <c:v>2.0099999999999998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A7B-F64D-8B90-63CB7BD3047B}"/>
            </c:ext>
          </c:extLst>
        </c:ser>
        <c:ser>
          <c:idx val="2"/>
          <c:order val="1"/>
          <c:tx>
            <c:strRef>
              <c:f>'[2]Hexane Data'!$D$1</c:f>
              <c:strCache>
                <c:ptCount val="1"/>
                <c:pt idx="0">
                  <c:v>Bonded Thickness (nm)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'[2]Hexane Data'!$A$2:$A$6</c:f>
              <c:numCache>
                <c:formatCode>General</c:formatCode>
                <c:ptCount val="5"/>
                <c:pt idx="0">
                  <c:v>0.1</c:v>
                </c:pt>
                <c:pt idx="1">
                  <c:v>0.15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</c:numCache>
            </c:numRef>
          </c:cat>
          <c:val>
            <c:numRef>
              <c:f>'[2]Hexane Data'!$D$2:$D$6</c:f>
              <c:numCache>
                <c:formatCode>General</c:formatCode>
                <c:ptCount val="5"/>
                <c:pt idx="0">
                  <c:v>0.34</c:v>
                </c:pt>
                <c:pt idx="1">
                  <c:v>0.37</c:v>
                </c:pt>
                <c:pt idx="2">
                  <c:v>0.41</c:v>
                </c:pt>
                <c:pt idx="3">
                  <c:v>0.51</c:v>
                </c:pt>
                <c:pt idx="4">
                  <c:v>0.59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9A7B-F64D-8B90-63CB7BD304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003584"/>
        <c:axId val="52005888"/>
      </c:lineChart>
      <c:catAx>
        <c:axId val="52003584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Concentration (g/L)</a:t>
                </a:r>
              </a:p>
            </c:rich>
          </c:tx>
          <c:layout>
            <c:manualLayout>
              <c:xMode val="edge"/>
              <c:yMode val="edge"/>
              <c:x val="0.35475647031462837"/>
              <c:y val="0.87340895325147294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2005888"/>
        <c:crosses val="autoZero"/>
        <c:auto val="0"/>
        <c:lblAlgn val="ctr"/>
        <c:lblOffset val="100"/>
        <c:tickMarkSkip val="1"/>
        <c:noMultiLvlLbl val="0"/>
      </c:catAx>
      <c:valAx>
        <c:axId val="52005888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Thickness (nnm)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2003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6660686401541577"/>
          <c:y val="0.14029678982434896"/>
          <c:w val="0.65989202299079708"/>
          <c:h val="6.35039370078740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887888888888889"/>
          <c:y val="8.0327777777777776E-2"/>
          <c:w val="0.77991055555555555"/>
          <c:h val="0.65976111111111124"/>
        </c:manualLayout>
      </c:layout>
      <c:lineChart>
        <c:grouping val="standard"/>
        <c:varyColors val="0"/>
        <c:ser>
          <c:idx val="0"/>
          <c:order val="0"/>
          <c:tx>
            <c:strRef>
              <c:f>'[3]Hexane Data'!$B$1</c:f>
              <c:strCache>
                <c:ptCount val="1"/>
                <c:pt idx="0">
                  <c:v>Total Thickness (nm)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'[3]Hexane Data'!$A$2:$A$11</c:f>
              <c:numCache>
                <c:formatCode>General</c:formatCode>
                <c:ptCount val="10"/>
                <c:pt idx="0">
                  <c:v>0.1</c:v>
                </c:pt>
                <c:pt idx="1">
                  <c:v>0.15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  <c:pt idx="5">
                  <c:v>1.5</c:v>
                </c:pt>
                <c:pt idx="6">
                  <c:v>2</c:v>
                </c:pt>
                <c:pt idx="7">
                  <c:v>2.5</c:v>
                </c:pt>
                <c:pt idx="8">
                  <c:v>3</c:v>
                </c:pt>
                <c:pt idx="9">
                  <c:v>5</c:v>
                </c:pt>
              </c:numCache>
            </c:numRef>
          </c:cat>
          <c:val>
            <c:numRef>
              <c:f>'[3]Hexane Data'!$B$2:$B$11</c:f>
              <c:numCache>
                <c:formatCode>General</c:formatCode>
                <c:ptCount val="10"/>
                <c:pt idx="0">
                  <c:v>0.76</c:v>
                </c:pt>
                <c:pt idx="1">
                  <c:v>0.87</c:v>
                </c:pt>
                <c:pt idx="2">
                  <c:v>0.96</c:v>
                </c:pt>
                <c:pt idx="3">
                  <c:v>1.29</c:v>
                </c:pt>
                <c:pt idx="4">
                  <c:v>2.0099999999999998</c:v>
                </c:pt>
                <c:pt idx="5">
                  <c:v>2.69</c:v>
                </c:pt>
                <c:pt idx="6">
                  <c:v>3.51</c:v>
                </c:pt>
                <c:pt idx="7">
                  <c:v>3.6</c:v>
                </c:pt>
                <c:pt idx="8">
                  <c:v>4.2300000000000004</c:v>
                </c:pt>
                <c:pt idx="9">
                  <c:v>6.48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8D9-5E48-9E04-EEAA54F85C81}"/>
            </c:ext>
          </c:extLst>
        </c:ser>
        <c:ser>
          <c:idx val="2"/>
          <c:order val="1"/>
          <c:tx>
            <c:strRef>
              <c:f>'[3]Hexane Data'!$D$1</c:f>
              <c:strCache>
                <c:ptCount val="1"/>
                <c:pt idx="0">
                  <c:v>Bonded Thickness (nm)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'[3]Hexane Data'!$A$2:$A$11</c:f>
              <c:numCache>
                <c:formatCode>General</c:formatCode>
                <c:ptCount val="10"/>
                <c:pt idx="0">
                  <c:v>0.1</c:v>
                </c:pt>
                <c:pt idx="1">
                  <c:v>0.15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  <c:pt idx="5">
                  <c:v>1.5</c:v>
                </c:pt>
                <c:pt idx="6">
                  <c:v>2</c:v>
                </c:pt>
                <c:pt idx="7">
                  <c:v>2.5</c:v>
                </c:pt>
                <c:pt idx="8">
                  <c:v>3</c:v>
                </c:pt>
                <c:pt idx="9">
                  <c:v>5</c:v>
                </c:pt>
              </c:numCache>
            </c:numRef>
          </c:cat>
          <c:val>
            <c:numRef>
              <c:f>'[3]Hexane Data'!$D$2:$D$11</c:f>
              <c:numCache>
                <c:formatCode>General</c:formatCode>
                <c:ptCount val="10"/>
                <c:pt idx="0">
                  <c:v>0.34</c:v>
                </c:pt>
                <c:pt idx="1">
                  <c:v>0.37</c:v>
                </c:pt>
                <c:pt idx="2">
                  <c:v>0.41</c:v>
                </c:pt>
                <c:pt idx="3">
                  <c:v>0.51</c:v>
                </c:pt>
                <c:pt idx="4">
                  <c:v>0.59</c:v>
                </c:pt>
                <c:pt idx="5">
                  <c:v>0.56999999999999995</c:v>
                </c:pt>
                <c:pt idx="6">
                  <c:v>0.56000000000000005</c:v>
                </c:pt>
                <c:pt idx="7">
                  <c:v>0.57999999999999996</c:v>
                </c:pt>
                <c:pt idx="8">
                  <c:v>0.56000000000000005</c:v>
                </c:pt>
                <c:pt idx="9">
                  <c:v>0.55000000000000004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28D9-5E48-9E04-EEAA54F85C81}"/>
            </c:ext>
          </c:extLst>
        </c:ser>
        <c:ser>
          <c:idx val="4"/>
          <c:order val="2"/>
          <c:tx>
            <c:strRef>
              <c:f>'[3]Hexane Data'!$F$1</c:f>
              <c:strCache>
                <c:ptCount val="1"/>
                <c:pt idx="0">
                  <c:v>Mobile layer (nm)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numRef>
              <c:f>'[3]Hexane Data'!$A$2:$A$11</c:f>
              <c:numCache>
                <c:formatCode>General</c:formatCode>
                <c:ptCount val="10"/>
                <c:pt idx="0">
                  <c:v>0.1</c:v>
                </c:pt>
                <c:pt idx="1">
                  <c:v>0.15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  <c:pt idx="5">
                  <c:v>1.5</c:v>
                </c:pt>
                <c:pt idx="6">
                  <c:v>2</c:v>
                </c:pt>
                <c:pt idx="7">
                  <c:v>2.5</c:v>
                </c:pt>
                <c:pt idx="8">
                  <c:v>3</c:v>
                </c:pt>
                <c:pt idx="9">
                  <c:v>5</c:v>
                </c:pt>
              </c:numCache>
            </c:numRef>
          </c:cat>
          <c:val>
            <c:numRef>
              <c:f>'[3]Hexane Data'!$F$2:$F$11</c:f>
              <c:numCache>
                <c:formatCode>General</c:formatCode>
                <c:ptCount val="10"/>
                <c:pt idx="0">
                  <c:v>0.42</c:v>
                </c:pt>
                <c:pt idx="1">
                  <c:v>0.5</c:v>
                </c:pt>
                <c:pt idx="2">
                  <c:v>0.55000000000000004</c:v>
                </c:pt>
                <c:pt idx="3">
                  <c:v>0.78</c:v>
                </c:pt>
                <c:pt idx="4">
                  <c:v>1.43</c:v>
                </c:pt>
                <c:pt idx="5">
                  <c:v>2.12</c:v>
                </c:pt>
                <c:pt idx="6">
                  <c:v>2.95</c:v>
                </c:pt>
                <c:pt idx="7">
                  <c:v>3.02</c:v>
                </c:pt>
                <c:pt idx="8">
                  <c:v>3.67</c:v>
                </c:pt>
                <c:pt idx="9">
                  <c:v>5.93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28D9-5E48-9E04-EEAA54F85C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123520"/>
        <c:axId val="52142464"/>
      </c:lineChart>
      <c:catAx>
        <c:axId val="52123520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Concentration (g/L)</a:t>
                </a:r>
              </a:p>
            </c:rich>
          </c:tx>
          <c:layout>
            <c:manualLayout>
              <c:xMode val="edge"/>
              <c:yMode val="edge"/>
              <c:x val="0.35864240740740738"/>
              <c:y val="0.8959696296296296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2142464"/>
        <c:crosses val="autoZero"/>
        <c:auto val="0"/>
        <c:lblAlgn val="ctr"/>
        <c:lblOffset val="100"/>
        <c:noMultiLvlLbl val="0"/>
      </c:catAx>
      <c:valAx>
        <c:axId val="52142464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Thickness (nm)</a:t>
                </a:r>
              </a:p>
            </c:rich>
          </c:tx>
          <c:layout>
            <c:manualLayout>
              <c:xMode val="edge"/>
              <c:yMode val="edge"/>
              <c:x val="3.6253888888888891E-2"/>
              <c:y val="0.2549507407407407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2123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9.8523206751054859E-2"/>
          <c:y val="2.4280821917808219E-2"/>
          <c:w val="0.9"/>
          <c:h val="6.21990615899040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'[4]Hexane Data'!$B$1</c:f>
              <c:strCache>
                <c:ptCount val="1"/>
                <c:pt idx="0">
                  <c:v>Total Thickness (nm)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'[4]Hexane Data'!$A$2:$A$13</c:f>
              <c:numCache>
                <c:formatCode>General</c:formatCode>
                <c:ptCount val="12"/>
                <c:pt idx="0">
                  <c:v>0.1</c:v>
                </c:pt>
                <c:pt idx="1">
                  <c:v>0.15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  <c:pt idx="5">
                  <c:v>1.5</c:v>
                </c:pt>
                <c:pt idx="6">
                  <c:v>2</c:v>
                </c:pt>
                <c:pt idx="7">
                  <c:v>2.5</c:v>
                </c:pt>
                <c:pt idx="8">
                  <c:v>3</c:v>
                </c:pt>
                <c:pt idx="9">
                  <c:v>5</c:v>
                </c:pt>
                <c:pt idx="10">
                  <c:v>7</c:v>
                </c:pt>
                <c:pt idx="11">
                  <c:v>10</c:v>
                </c:pt>
              </c:numCache>
            </c:numRef>
          </c:cat>
          <c:val>
            <c:numRef>
              <c:f>'[4]Hexane Data'!$B$2:$B$13</c:f>
              <c:numCache>
                <c:formatCode>General</c:formatCode>
                <c:ptCount val="12"/>
                <c:pt idx="0">
                  <c:v>0.76</c:v>
                </c:pt>
                <c:pt idx="1">
                  <c:v>0.87</c:v>
                </c:pt>
                <c:pt idx="2">
                  <c:v>0.96</c:v>
                </c:pt>
                <c:pt idx="3">
                  <c:v>1.29</c:v>
                </c:pt>
                <c:pt idx="4">
                  <c:v>2.0099999999999998</c:v>
                </c:pt>
                <c:pt idx="5">
                  <c:v>2.69</c:v>
                </c:pt>
                <c:pt idx="6">
                  <c:v>3.51</c:v>
                </c:pt>
                <c:pt idx="7">
                  <c:v>3.6</c:v>
                </c:pt>
                <c:pt idx="8">
                  <c:v>4.2300000000000004</c:v>
                </c:pt>
                <c:pt idx="9">
                  <c:v>6.48</c:v>
                </c:pt>
                <c:pt idx="10">
                  <c:v>9.81</c:v>
                </c:pt>
                <c:pt idx="11">
                  <c:v>13.18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6A2-F641-9C0C-8B9195AD460C}"/>
            </c:ext>
          </c:extLst>
        </c:ser>
        <c:ser>
          <c:idx val="2"/>
          <c:order val="1"/>
          <c:tx>
            <c:strRef>
              <c:f>'[4]Hexane Data'!$D$1</c:f>
              <c:strCache>
                <c:ptCount val="1"/>
                <c:pt idx="0">
                  <c:v>Bonded Thickness (nm)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'[4]Hexane Data'!$A$2:$A$13</c:f>
              <c:numCache>
                <c:formatCode>General</c:formatCode>
                <c:ptCount val="12"/>
                <c:pt idx="0">
                  <c:v>0.1</c:v>
                </c:pt>
                <c:pt idx="1">
                  <c:v>0.15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  <c:pt idx="5">
                  <c:v>1.5</c:v>
                </c:pt>
                <c:pt idx="6">
                  <c:v>2</c:v>
                </c:pt>
                <c:pt idx="7">
                  <c:v>2.5</c:v>
                </c:pt>
                <c:pt idx="8">
                  <c:v>3</c:v>
                </c:pt>
                <c:pt idx="9">
                  <c:v>5</c:v>
                </c:pt>
                <c:pt idx="10">
                  <c:v>7</c:v>
                </c:pt>
                <c:pt idx="11">
                  <c:v>10</c:v>
                </c:pt>
              </c:numCache>
            </c:numRef>
          </c:cat>
          <c:val>
            <c:numRef>
              <c:f>'[4]Hexane Data'!$D$2:$D$13</c:f>
              <c:numCache>
                <c:formatCode>General</c:formatCode>
                <c:ptCount val="12"/>
                <c:pt idx="0">
                  <c:v>0.34</c:v>
                </c:pt>
                <c:pt idx="1">
                  <c:v>0.37</c:v>
                </c:pt>
                <c:pt idx="2">
                  <c:v>0.41</c:v>
                </c:pt>
                <c:pt idx="3">
                  <c:v>0.51</c:v>
                </c:pt>
                <c:pt idx="4">
                  <c:v>0.59</c:v>
                </c:pt>
                <c:pt idx="5">
                  <c:v>0.56999999999999995</c:v>
                </c:pt>
                <c:pt idx="6">
                  <c:v>0.56000000000000005</c:v>
                </c:pt>
                <c:pt idx="7">
                  <c:v>0.57999999999999996</c:v>
                </c:pt>
                <c:pt idx="8">
                  <c:v>0.56000000000000005</c:v>
                </c:pt>
                <c:pt idx="9">
                  <c:v>0.55000000000000004</c:v>
                </c:pt>
                <c:pt idx="10">
                  <c:v>0.52</c:v>
                </c:pt>
                <c:pt idx="11">
                  <c:v>0.51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26A2-F641-9C0C-8B9195AD460C}"/>
            </c:ext>
          </c:extLst>
        </c:ser>
        <c:ser>
          <c:idx val="4"/>
          <c:order val="2"/>
          <c:tx>
            <c:strRef>
              <c:f>'[4]Hexane Data'!$F$1</c:f>
              <c:strCache>
                <c:ptCount val="1"/>
                <c:pt idx="0">
                  <c:v>Mobile layer (nm)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numRef>
              <c:f>'[4]Hexane Data'!$A$2:$A$13</c:f>
              <c:numCache>
                <c:formatCode>General</c:formatCode>
                <c:ptCount val="12"/>
                <c:pt idx="0">
                  <c:v>0.1</c:v>
                </c:pt>
                <c:pt idx="1">
                  <c:v>0.15</c:v>
                </c:pt>
                <c:pt idx="2">
                  <c:v>0.25</c:v>
                </c:pt>
                <c:pt idx="3">
                  <c:v>0.5</c:v>
                </c:pt>
                <c:pt idx="4">
                  <c:v>1</c:v>
                </c:pt>
                <c:pt idx="5">
                  <c:v>1.5</c:v>
                </c:pt>
                <c:pt idx="6">
                  <c:v>2</c:v>
                </c:pt>
                <c:pt idx="7">
                  <c:v>2.5</c:v>
                </c:pt>
                <c:pt idx="8">
                  <c:v>3</c:v>
                </c:pt>
                <c:pt idx="9">
                  <c:v>5</c:v>
                </c:pt>
                <c:pt idx="10">
                  <c:v>7</c:v>
                </c:pt>
                <c:pt idx="11">
                  <c:v>10</c:v>
                </c:pt>
              </c:numCache>
            </c:numRef>
          </c:cat>
          <c:val>
            <c:numRef>
              <c:f>'[4]Hexane Data'!$F$2:$F$13</c:f>
              <c:numCache>
                <c:formatCode>General</c:formatCode>
                <c:ptCount val="12"/>
                <c:pt idx="0">
                  <c:v>0.42</c:v>
                </c:pt>
                <c:pt idx="1">
                  <c:v>0.5</c:v>
                </c:pt>
                <c:pt idx="2">
                  <c:v>0.55000000000000004</c:v>
                </c:pt>
                <c:pt idx="3">
                  <c:v>0.78</c:v>
                </c:pt>
                <c:pt idx="4">
                  <c:v>1.43</c:v>
                </c:pt>
                <c:pt idx="5">
                  <c:v>2.12</c:v>
                </c:pt>
                <c:pt idx="6">
                  <c:v>2.95</c:v>
                </c:pt>
                <c:pt idx="7">
                  <c:v>3.02</c:v>
                </c:pt>
                <c:pt idx="8">
                  <c:v>3.67</c:v>
                </c:pt>
                <c:pt idx="9">
                  <c:v>5.93</c:v>
                </c:pt>
                <c:pt idx="10">
                  <c:v>9.2899999999999991</c:v>
                </c:pt>
                <c:pt idx="11">
                  <c:v>12.67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26A2-F641-9C0C-8B9195AD46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535296"/>
        <c:axId val="54537600"/>
      </c:lineChart>
      <c:catAx>
        <c:axId val="5453529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Concentration (g/L)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4537600"/>
        <c:crosses val="autoZero"/>
        <c:auto val="0"/>
        <c:lblAlgn val="ctr"/>
        <c:lblOffset val="100"/>
        <c:noMultiLvlLbl val="0"/>
      </c:catAx>
      <c:valAx>
        <c:axId val="54537600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Thickness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4535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503612783696154E-2"/>
          <c:y val="0.18781838411502913"/>
          <c:w val="0.35306499922803775"/>
          <c:h val="0.2143555289284491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086283332230543E-2"/>
          <c:y val="3.0840332458442695E-2"/>
          <c:w val="0.89290531330642497"/>
          <c:h val="0.84066885389326329"/>
        </c:manualLayout>
      </c:layout>
      <c:scatterChart>
        <c:scatterStyle val="lineMarker"/>
        <c:varyColors val="0"/>
        <c:ser>
          <c:idx val="0"/>
          <c:order val="0"/>
          <c:tx>
            <c:v>Total Thickness (nm)</c:v>
          </c:tx>
          <c:spPr>
            <a:ln w="25400">
              <a:solidFill>
                <a:srgbClr val="0000FF"/>
              </a:solidFill>
            </a:ln>
          </c:spPr>
          <c:marker>
            <c:symbol val="circle"/>
            <c:size val="6"/>
            <c:spPr>
              <a:solidFill>
                <a:srgbClr val="0000FF"/>
              </a:solidFill>
              <a:ln>
                <a:solidFill>
                  <a:srgbClr val="0000FF"/>
                </a:solidFill>
              </a:ln>
            </c:spPr>
          </c:marker>
          <c:xVal>
            <c:numRef>
              <c:f>[5]Data!$A$2:$A$16</c:f>
              <c:numCache>
                <c:formatCode>General</c:formatCode>
                <c:ptCount val="15"/>
                <c:pt idx="0">
                  <c:v>0.02</c:v>
                </c:pt>
                <c:pt idx="1">
                  <c:v>0.05</c:v>
                </c:pt>
                <c:pt idx="2">
                  <c:v>7.0000000000000007E-2</c:v>
                </c:pt>
                <c:pt idx="3">
                  <c:v>0.1</c:v>
                </c:pt>
                <c:pt idx="4">
                  <c:v>0.15</c:v>
                </c:pt>
                <c:pt idx="5">
                  <c:v>0.25</c:v>
                </c:pt>
                <c:pt idx="6">
                  <c:v>0.5</c:v>
                </c:pt>
                <c:pt idx="7">
                  <c:v>1</c:v>
                </c:pt>
                <c:pt idx="8">
                  <c:v>1.5</c:v>
                </c:pt>
                <c:pt idx="9">
                  <c:v>2</c:v>
                </c:pt>
                <c:pt idx="10">
                  <c:v>2.5</c:v>
                </c:pt>
                <c:pt idx="11">
                  <c:v>3</c:v>
                </c:pt>
                <c:pt idx="12">
                  <c:v>5</c:v>
                </c:pt>
                <c:pt idx="13">
                  <c:v>7</c:v>
                </c:pt>
                <c:pt idx="14">
                  <c:v>10</c:v>
                </c:pt>
              </c:numCache>
            </c:numRef>
          </c:xVal>
          <c:yVal>
            <c:numRef>
              <c:f>[5]Data!$B$2:$B$16</c:f>
              <c:numCache>
                <c:formatCode>General</c:formatCode>
                <c:ptCount val="15"/>
                <c:pt idx="0">
                  <c:v>0.56999999999999995</c:v>
                </c:pt>
                <c:pt idx="1">
                  <c:v>0.62</c:v>
                </c:pt>
                <c:pt idx="2">
                  <c:v>0.68</c:v>
                </c:pt>
                <c:pt idx="3">
                  <c:v>0.76</c:v>
                </c:pt>
                <c:pt idx="4">
                  <c:v>0.87</c:v>
                </c:pt>
                <c:pt idx="5">
                  <c:v>0.96</c:v>
                </c:pt>
                <c:pt idx="6">
                  <c:v>1.29</c:v>
                </c:pt>
                <c:pt idx="7">
                  <c:v>2.0099999999999998</c:v>
                </c:pt>
                <c:pt idx="8">
                  <c:v>2.69</c:v>
                </c:pt>
                <c:pt idx="9">
                  <c:v>3.51</c:v>
                </c:pt>
                <c:pt idx="10">
                  <c:v>3.6</c:v>
                </c:pt>
                <c:pt idx="11">
                  <c:v>4.2300000000000004</c:v>
                </c:pt>
                <c:pt idx="12">
                  <c:v>6.48</c:v>
                </c:pt>
                <c:pt idx="13">
                  <c:v>9.81</c:v>
                </c:pt>
                <c:pt idx="14">
                  <c:v>13.18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503-1045-A3A2-5BA208C1DAA3}"/>
            </c:ext>
          </c:extLst>
        </c:ser>
        <c:ser>
          <c:idx val="1"/>
          <c:order val="1"/>
          <c:tx>
            <c:v>Bonded Thickness (nm)</c:v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6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[5]Data!$A$2:$A$16</c:f>
              <c:numCache>
                <c:formatCode>General</c:formatCode>
                <c:ptCount val="15"/>
                <c:pt idx="0">
                  <c:v>0.02</c:v>
                </c:pt>
                <c:pt idx="1">
                  <c:v>0.05</c:v>
                </c:pt>
                <c:pt idx="2">
                  <c:v>7.0000000000000007E-2</c:v>
                </c:pt>
                <c:pt idx="3">
                  <c:v>0.1</c:v>
                </c:pt>
                <c:pt idx="4">
                  <c:v>0.15</c:v>
                </c:pt>
                <c:pt idx="5">
                  <c:v>0.25</c:v>
                </c:pt>
                <c:pt idx="6">
                  <c:v>0.5</c:v>
                </c:pt>
                <c:pt idx="7">
                  <c:v>1</c:v>
                </c:pt>
                <c:pt idx="8">
                  <c:v>1.5</c:v>
                </c:pt>
                <c:pt idx="9">
                  <c:v>2</c:v>
                </c:pt>
                <c:pt idx="10">
                  <c:v>2.5</c:v>
                </c:pt>
                <c:pt idx="11">
                  <c:v>3</c:v>
                </c:pt>
                <c:pt idx="12">
                  <c:v>5</c:v>
                </c:pt>
                <c:pt idx="13">
                  <c:v>7</c:v>
                </c:pt>
                <c:pt idx="14">
                  <c:v>10</c:v>
                </c:pt>
              </c:numCache>
            </c:numRef>
          </c:xVal>
          <c:yVal>
            <c:numRef>
              <c:f>[5]Data!$C$2:$C$16</c:f>
              <c:numCache>
                <c:formatCode>General</c:formatCode>
                <c:ptCount val="15"/>
                <c:pt idx="0">
                  <c:v>0.47</c:v>
                </c:pt>
                <c:pt idx="1">
                  <c:v>0.46</c:v>
                </c:pt>
                <c:pt idx="2">
                  <c:v>0.46</c:v>
                </c:pt>
                <c:pt idx="3">
                  <c:v>0.34</c:v>
                </c:pt>
                <c:pt idx="4">
                  <c:v>0.37</c:v>
                </c:pt>
                <c:pt idx="5">
                  <c:v>0.41</c:v>
                </c:pt>
                <c:pt idx="6">
                  <c:v>0.51</c:v>
                </c:pt>
                <c:pt idx="7">
                  <c:v>0.59</c:v>
                </c:pt>
                <c:pt idx="8">
                  <c:v>0.56999999999999995</c:v>
                </c:pt>
                <c:pt idx="9">
                  <c:v>0.56000000000000005</c:v>
                </c:pt>
                <c:pt idx="10">
                  <c:v>0.57999999999999996</c:v>
                </c:pt>
                <c:pt idx="11">
                  <c:v>0.56000000000000005</c:v>
                </c:pt>
                <c:pt idx="12">
                  <c:v>0.55000000000000004</c:v>
                </c:pt>
                <c:pt idx="13">
                  <c:v>0.52</c:v>
                </c:pt>
                <c:pt idx="14">
                  <c:v>0.51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8503-1045-A3A2-5BA208C1DAA3}"/>
            </c:ext>
          </c:extLst>
        </c:ser>
        <c:ser>
          <c:idx val="2"/>
          <c:order val="2"/>
          <c:tx>
            <c:v>Mobile layer (nm)</c:v>
          </c:tx>
          <c:spPr>
            <a:ln w="25400">
              <a:solidFill>
                <a:srgbClr val="008000"/>
              </a:solidFill>
            </a:ln>
          </c:spPr>
          <c:marker>
            <c:symbol val="circle"/>
            <c:size val="6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[5]Data!$A$2:$A$16</c:f>
              <c:numCache>
                <c:formatCode>General</c:formatCode>
                <c:ptCount val="15"/>
                <c:pt idx="0">
                  <c:v>0.02</c:v>
                </c:pt>
                <c:pt idx="1">
                  <c:v>0.05</c:v>
                </c:pt>
                <c:pt idx="2">
                  <c:v>7.0000000000000007E-2</c:v>
                </c:pt>
                <c:pt idx="3">
                  <c:v>0.1</c:v>
                </c:pt>
                <c:pt idx="4">
                  <c:v>0.15</c:v>
                </c:pt>
                <c:pt idx="5">
                  <c:v>0.25</c:v>
                </c:pt>
                <c:pt idx="6">
                  <c:v>0.5</c:v>
                </c:pt>
                <c:pt idx="7">
                  <c:v>1</c:v>
                </c:pt>
                <c:pt idx="8">
                  <c:v>1.5</c:v>
                </c:pt>
                <c:pt idx="9">
                  <c:v>2</c:v>
                </c:pt>
                <c:pt idx="10">
                  <c:v>2.5</c:v>
                </c:pt>
                <c:pt idx="11">
                  <c:v>3</c:v>
                </c:pt>
                <c:pt idx="12">
                  <c:v>5</c:v>
                </c:pt>
                <c:pt idx="13">
                  <c:v>7</c:v>
                </c:pt>
                <c:pt idx="14">
                  <c:v>10</c:v>
                </c:pt>
              </c:numCache>
            </c:numRef>
          </c:xVal>
          <c:yVal>
            <c:numRef>
              <c:f>[5]Data!$D$2:$D$16</c:f>
              <c:numCache>
                <c:formatCode>General</c:formatCode>
                <c:ptCount val="15"/>
                <c:pt idx="0">
                  <c:v>0.1</c:v>
                </c:pt>
                <c:pt idx="1">
                  <c:v>0.16</c:v>
                </c:pt>
                <c:pt idx="2">
                  <c:v>0.22</c:v>
                </c:pt>
                <c:pt idx="3">
                  <c:v>0.42</c:v>
                </c:pt>
                <c:pt idx="4">
                  <c:v>0.5</c:v>
                </c:pt>
                <c:pt idx="5">
                  <c:v>0.55000000000000004</c:v>
                </c:pt>
                <c:pt idx="6">
                  <c:v>0.78</c:v>
                </c:pt>
                <c:pt idx="7">
                  <c:v>1.43</c:v>
                </c:pt>
                <c:pt idx="8">
                  <c:v>2.12</c:v>
                </c:pt>
                <c:pt idx="9">
                  <c:v>2.95</c:v>
                </c:pt>
                <c:pt idx="10">
                  <c:v>3.02</c:v>
                </c:pt>
                <c:pt idx="11">
                  <c:v>3.67</c:v>
                </c:pt>
                <c:pt idx="12">
                  <c:v>5.93</c:v>
                </c:pt>
                <c:pt idx="13">
                  <c:v>9.2899999999999991</c:v>
                </c:pt>
                <c:pt idx="14">
                  <c:v>12.67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8503-1045-A3A2-5BA208C1D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81504"/>
        <c:axId val="54588160"/>
      </c:scatterChart>
      <c:valAx>
        <c:axId val="54581504"/>
        <c:scaling>
          <c:orientation val="minMax"/>
          <c:max val="1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Concentration (g/L)</a:t>
                </a:r>
              </a:p>
            </c:rich>
          </c:tx>
          <c:overlay val="0"/>
        </c:title>
        <c:numFmt formatCode="General" sourceLinked="1"/>
        <c:majorTickMark val="in"/>
        <c:minorTickMark val="in"/>
        <c:tickLblPos val="nextTo"/>
        <c:spPr>
          <a:ln/>
        </c:spPr>
        <c:txPr>
          <a:bodyPr/>
          <a:lstStyle/>
          <a:p>
            <a:pPr>
              <a:defRPr sz="1200"/>
            </a:pPr>
            <a:endParaRPr lang="en-US"/>
          </a:p>
        </c:txPr>
        <c:crossAx val="54588160"/>
        <c:crosses val="autoZero"/>
        <c:crossBetween val="midCat"/>
        <c:majorUnit val="1"/>
        <c:minorUnit val="0.1"/>
      </c:valAx>
      <c:valAx>
        <c:axId val="54588160"/>
        <c:scaling>
          <c:orientation val="minMax"/>
          <c:max val="14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200"/>
                </a:pPr>
                <a:r>
                  <a:rPr lang="en-US" sz="1200"/>
                  <a:t>Thickness (nm)</a:t>
                </a:r>
              </a:p>
            </c:rich>
          </c:tx>
          <c:overlay val="0"/>
        </c:title>
        <c:numFmt formatCode="General" sourceLinked="1"/>
        <c:majorTickMark val="in"/>
        <c:minorTickMark val="in"/>
        <c:tickLblPos val="nextTo"/>
        <c:spPr>
          <a:ln/>
        </c:spPr>
        <c:txPr>
          <a:bodyPr/>
          <a:lstStyle/>
          <a:p>
            <a:pPr>
              <a:defRPr sz="1200"/>
            </a:pPr>
            <a:endParaRPr lang="en-US"/>
          </a:p>
        </c:txPr>
        <c:crossAx val="54581504"/>
        <c:crosses val="autoZero"/>
        <c:crossBetween val="midCat"/>
        <c:majorUnit val="2"/>
      </c:valAx>
    </c:plotArea>
    <c:legend>
      <c:legendPos val="l"/>
      <c:layout>
        <c:manualLayout>
          <c:xMode val="edge"/>
          <c:yMode val="edge"/>
          <c:x val="0.13613445378151259"/>
          <c:y val="9.6876640419947507E-2"/>
          <c:w val="0.27652180242175611"/>
          <c:h val="0.15069094488188978"/>
        </c:manualLayout>
      </c:layout>
      <c:overlay val="0"/>
      <c:txPr>
        <a:bodyPr/>
        <a:lstStyle/>
        <a:p>
          <a:pPr>
            <a:defRPr sz="11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52</xdr:row>
      <xdr:rowOff>0</xdr:rowOff>
    </xdr:from>
    <xdr:ext cx="10236200" cy="5092700"/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40D994C5-2EF2-7A40-A3C5-7B21DD9688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1</xdr:row>
      <xdr:rowOff>165100</xdr:rowOff>
    </xdr:from>
    <xdr:ext cx="10236200" cy="5092700"/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A14FB8FD-45D9-6048-9047-A312841215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613832</xdr:colOff>
      <xdr:row>31</xdr:row>
      <xdr:rowOff>42333</xdr:rowOff>
    </xdr:from>
    <xdr:ext cx="6019800" cy="3632200"/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AA21783-02C8-674E-BC7D-A90F5F86C4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7</xdr:col>
      <xdr:colOff>0</xdr:colOff>
      <xdr:row>57</xdr:row>
      <xdr:rowOff>0</xdr:rowOff>
    </xdr:from>
    <xdr:ext cx="6019800" cy="3708400"/>
    <xdr:graphicFrame macro="">
      <xdr:nvGraphicFramePr>
        <xdr:cNvPr id="4" name="Chart 3">
          <a:extLst>
            <a:ext uri="{FF2B5EF4-FFF2-40B4-BE49-F238E27FC236}">
              <a16:creationId xmlns="" xmlns:a16="http://schemas.microsoft.com/office/drawing/2014/main" id="{BFF8B5A8-FD33-074D-9CB5-84C50CE4C0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8</xdr:col>
      <xdr:colOff>0</xdr:colOff>
      <xdr:row>81</xdr:row>
      <xdr:rowOff>0</xdr:rowOff>
    </xdr:from>
    <xdr:ext cx="6477000" cy="4178300"/>
    <xdr:graphicFrame macro="">
      <xdr:nvGraphicFramePr>
        <xdr:cNvPr id="5" name="Chart 4">
          <a:extLst>
            <a:ext uri="{FF2B5EF4-FFF2-40B4-BE49-F238E27FC236}">
              <a16:creationId xmlns="" xmlns:a16="http://schemas.microsoft.com/office/drawing/2014/main" id="{D2F44452-B447-E34C-A68A-4D5B19B08F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twoCellAnchor>
    <xdr:from>
      <xdr:col>6</xdr:col>
      <xdr:colOff>42332</xdr:colOff>
      <xdr:row>108</xdr:row>
      <xdr:rowOff>0</xdr:rowOff>
    </xdr:from>
    <xdr:to>
      <xdr:col>18</xdr:col>
      <xdr:colOff>414865</xdr:colOff>
      <xdr:row>133</xdr:row>
      <xdr:rowOff>148167</xdr:rowOff>
    </xdr:to>
    <xdr:graphicFrame macro="">
      <xdr:nvGraphicFramePr>
        <xdr:cNvPr id="6" name="Chart 5">
          <a:extLst>
            <a:ext uri="{FF2B5EF4-FFF2-40B4-BE49-F238E27FC236}">
              <a16:creationId xmlns="" xmlns:a16="http://schemas.microsoft.com/office/drawing/2014/main" id="{F2DCCD51-8D10-CA4C-A38B-02EA65B419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ajeralmanea/Desktop/PDMS_Hexane_Thickness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ajeralmanea/Downloads/PDMS_Hexane_0.1to1gL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ajeralmanea/Downloads/PDMS_Hexane_Updated_Data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ajeralmanea/Downloads/PDMS_Hexane_0.1to10gL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ajeralmanea/Downloads/PDMS_Thickness_3Lin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DMS Data"/>
    </sheetNames>
    <sheetDataSet>
      <sheetData sheetId="0">
        <row r="1">
          <cell r="B1" t="str">
            <v>Total Thickness (nm)</v>
          </cell>
          <cell r="C1" t="str">
            <v>Bonded Thickness (nm)</v>
          </cell>
          <cell r="D1" t="str">
            <v>Mobile Layer (nm)</v>
          </cell>
        </row>
        <row r="2">
          <cell r="A2">
            <v>0.1</v>
          </cell>
          <cell r="B2">
            <v>0.76</v>
          </cell>
          <cell r="C2">
            <v>0.34</v>
          </cell>
          <cell r="D2">
            <v>0.42</v>
          </cell>
        </row>
        <row r="3">
          <cell r="A3">
            <v>0.15</v>
          </cell>
          <cell r="B3">
            <v>0.87</v>
          </cell>
          <cell r="C3">
            <v>0.37</v>
          </cell>
          <cell r="D3">
            <v>0.5</v>
          </cell>
        </row>
        <row r="4">
          <cell r="A4">
            <v>0.25</v>
          </cell>
          <cell r="B4">
            <v>0.96</v>
          </cell>
          <cell r="C4">
            <v>0.41</v>
          </cell>
          <cell r="D4">
            <v>0.55000000000000004</v>
          </cell>
        </row>
        <row r="5">
          <cell r="A5">
            <v>0.5</v>
          </cell>
          <cell r="B5">
            <v>1.29</v>
          </cell>
          <cell r="C5">
            <v>0.51</v>
          </cell>
          <cell r="D5">
            <v>0.78</v>
          </cell>
        </row>
        <row r="6">
          <cell r="A6">
            <v>1</v>
          </cell>
          <cell r="B6">
            <v>2.0099999999999998</v>
          </cell>
          <cell r="C6">
            <v>0.59</v>
          </cell>
          <cell r="D6">
            <v>1.43</v>
          </cell>
        </row>
        <row r="7">
          <cell r="A7">
            <v>2.5</v>
          </cell>
          <cell r="B7">
            <v>3.6</v>
          </cell>
          <cell r="C7">
            <v>0.57999999999999996</v>
          </cell>
          <cell r="D7">
            <v>3.02</v>
          </cell>
        </row>
        <row r="8">
          <cell r="A8">
            <v>3</v>
          </cell>
          <cell r="B8">
            <v>4.2300000000000004</v>
          </cell>
          <cell r="C8">
            <v>0.56000000000000005</v>
          </cell>
          <cell r="D8">
            <v>3.67</v>
          </cell>
        </row>
        <row r="9">
          <cell r="A9">
            <v>5</v>
          </cell>
          <cell r="B9">
            <v>6.48</v>
          </cell>
          <cell r="C9">
            <v>0.55000000000000004</v>
          </cell>
          <cell r="D9">
            <v>5.93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xane Data"/>
    </sheetNames>
    <sheetDataSet>
      <sheetData sheetId="0">
        <row r="1">
          <cell r="B1" t="str">
            <v>Total Thickness (nm)</v>
          </cell>
          <cell r="D1" t="str">
            <v>Bonded Thickness (nm)</v>
          </cell>
        </row>
        <row r="2">
          <cell r="A2">
            <v>0.1</v>
          </cell>
          <cell r="B2">
            <v>0.76</v>
          </cell>
          <cell r="D2">
            <v>0.34</v>
          </cell>
        </row>
        <row r="3">
          <cell r="A3">
            <v>0.15</v>
          </cell>
          <cell r="B3">
            <v>0.87</v>
          </cell>
          <cell r="D3">
            <v>0.37</v>
          </cell>
        </row>
        <row r="4">
          <cell r="A4">
            <v>0.25</v>
          </cell>
          <cell r="B4">
            <v>0.96</v>
          </cell>
          <cell r="D4">
            <v>0.41</v>
          </cell>
        </row>
        <row r="5">
          <cell r="A5">
            <v>0.5</v>
          </cell>
          <cell r="B5">
            <v>1.29</v>
          </cell>
          <cell r="D5">
            <v>0.51</v>
          </cell>
        </row>
        <row r="6">
          <cell r="A6">
            <v>1</v>
          </cell>
          <cell r="B6">
            <v>2.0099999999999998</v>
          </cell>
          <cell r="D6">
            <v>0.59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xane Data"/>
    </sheetNames>
    <sheetDataSet>
      <sheetData sheetId="0">
        <row r="1">
          <cell r="B1" t="str">
            <v>Total Thickness (nm)</v>
          </cell>
          <cell r="D1" t="str">
            <v>Bonded Thickness (nm)</v>
          </cell>
          <cell r="F1" t="str">
            <v>Mobile layer (nm)</v>
          </cell>
        </row>
        <row r="2">
          <cell r="A2">
            <v>0.1</v>
          </cell>
          <cell r="B2">
            <v>0.76</v>
          </cell>
          <cell r="D2">
            <v>0.34</v>
          </cell>
          <cell r="F2">
            <v>0.42</v>
          </cell>
        </row>
        <row r="3">
          <cell r="A3">
            <v>0.15</v>
          </cell>
          <cell r="B3">
            <v>0.87</v>
          </cell>
          <cell r="D3">
            <v>0.37</v>
          </cell>
          <cell r="F3">
            <v>0.5</v>
          </cell>
        </row>
        <row r="4">
          <cell r="A4">
            <v>0.25</v>
          </cell>
          <cell r="B4">
            <v>0.96</v>
          </cell>
          <cell r="D4">
            <v>0.41</v>
          </cell>
          <cell r="F4">
            <v>0.55000000000000004</v>
          </cell>
        </row>
        <row r="5">
          <cell r="A5">
            <v>0.5</v>
          </cell>
          <cell r="B5">
            <v>1.29</v>
          </cell>
          <cell r="D5">
            <v>0.51</v>
          </cell>
          <cell r="F5">
            <v>0.78</v>
          </cell>
        </row>
        <row r="6">
          <cell r="A6">
            <v>1</v>
          </cell>
          <cell r="B6">
            <v>2.0099999999999998</v>
          </cell>
          <cell r="D6">
            <v>0.59</v>
          </cell>
          <cell r="F6">
            <v>1.43</v>
          </cell>
        </row>
        <row r="7">
          <cell r="A7">
            <v>1.5</v>
          </cell>
          <cell r="B7">
            <v>2.69</v>
          </cell>
          <cell r="D7">
            <v>0.56999999999999995</v>
          </cell>
          <cell r="F7">
            <v>2.12</v>
          </cell>
        </row>
        <row r="8">
          <cell r="A8">
            <v>2</v>
          </cell>
          <cell r="B8">
            <v>3.51</v>
          </cell>
          <cell r="D8">
            <v>0.56000000000000005</v>
          </cell>
          <cell r="F8">
            <v>2.95</v>
          </cell>
        </row>
        <row r="9">
          <cell r="A9">
            <v>2.5</v>
          </cell>
          <cell r="B9">
            <v>3.6</v>
          </cell>
          <cell r="D9">
            <v>0.57999999999999996</v>
          </cell>
          <cell r="F9">
            <v>3.02</v>
          </cell>
        </row>
        <row r="10">
          <cell r="A10">
            <v>3</v>
          </cell>
          <cell r="B10">
            <v>4.2300000000000004</v>
          </cell>
          <cell r="D10">
            <v>0.56000000000000005</v>
          </cell>
          <cell r="F10">
            <v>3.67</v>
          </cell>
        </row>
        <row r="11">
          <cell r="A11">
            <v>5</v>
          </cell>
          <cell r="B11">
            <v>6.48</v>
          </cell>
          <cell r="D11">
            <v>0.55000000000000004</v>
          </cell>
          <cell r="F11">
            <v>5.93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xane Data"/>
    </sheetNames>
    <sheetDataSet>
      <sheetData sheetId="0">
        <row r="1">
          <cell r="B1" t="str">
            <v>Total Thickness (nm)</v>
          </cell>
          <cell r="D1" t="str">
            <v>Bonded Thickness (nm)</v>
          </cell>
          <cell r="F1" t="str">
            <v>Mobile layer (nm)</v>
          </cell>
        </row>
        <row r="2">
          <cell r="A2">
            <v>0.1</v>
          </cell>
          <cell r="B2">
            <v>0.76</v>
          </cell>
          <cell r="D2">
            <v>0.34</v>
          </cell>
          <cell r="F2">
            <v>0.42</v>
          </cell>
        </row>
        <row r="3">
          <cell r="A3">
            <v>0.15</v>
          </cell>
          <cell r="B3">
            <v>0.87</v>
          </cell>
          <cell r="D3">
            <v>0.37</v>
          </cell>
          <cell r="F3">
            <v>0.5</v>
          </cell>
        </row>
        <row r="4">
          <cell r="A4">
            <v>0.25</v>
          </cell>
          <cell r="B4">
            <v>0.96</v>
          </cell>
          <cell r="D4">
            <v>0.41</v>
          </cell>
          <cell r="F4">
            <v>0.55000000000000004</v>
          </cell>
        </row>
        <row r="5">
          <cell r="A5">
            <v>0.5</v>
          </cell>
          <cell r="B5">
            <v>1.29</v>
          </cell>
          <cell r="D5">
            <v>0.51</v>
          </cell>
          <cell r="F5">
            <v>0.78</v>
          </cell>
        </row>
        <row r="6">
          <cell r="A6">
            <v>1</v>
          </cell>
          <cell r="B6">
            <v>2.0099999999999998</v>
          </cell>
          <cell r="D6">
            <v>0.59</v>
          </cell>
          <cell r="F6">
            <v>1.43</v>
          </cell>
        </row>
        <row r="7">
          <cell r="A7">
            <v>1.5</v>
          </cell>
          <cell r="B7">
            <v>2.69</v>
          </cell>
          <cell r="D7">
            <v>0.56999999999999995</v>
          </cell>
          <cell r="F7">
            <v>2.12</v>
          </cell>
        </row>
        <row r="8">
          <cell r="A8">
            <v>2</v>
          </cell>
          <cell r="B8">
            <v>3.51</v>
          </cell>
          <cell r="D8">
            <v>0.56000000000000005</v>
          </cell>
          <cell r="F8">
            <v>2.95</v>
          </cell>
        </row>
        <row r="9">
          <cell r="A9">
            <v>2.5</v>
          </cell>
          <cell r="B9">
            <v>3.6</v>
          </cell>
          <cell r="D9">
            <v>0.57999999999999996</v>
          </cell>
          <cell r="F9">
            <v>3.02</v>
          </cell>
        </row>
        <row r="10">
          <cell r="A10">
            <v>3</v>
          </cell>
          <cell r="B10">
            <v>4.2300000000000004</v>
          </cell>
          <cell r="D10">
            <v>0.56000000000000005</v>
          </cell>
          <cell r="F10">
            <v>3.67</v>
          </cell>
        </row>
        <row r="11">
          <cell r="A11">
            <v>5</v>
          </cell>
          <cell r="B11">
            <v>6.48</v>
          </cell>
          <cell r="D11">
            <v>0.55000000000000004</v>
          </cell>
          <cell r="F11">
            <v>5.93</v>
          </cell>
        </row>
        <row r="12">
          <cell r="A12">
            <v>7</v>
          </cell>
          <cell r="B12">
            <v>9.81</v>
          </cell>
          <cell r="D12">
            <v>0.52</v>
          </cell>
          <cell r="F12">
            <v>9.2899999999999991</v>
          </cell>
        </row>
        <row r="13">
          <cell r="A13">
            <v>10</v>
          </cell>
          <cell r="B13">
            <v>13.18</v>
          </cell>
          <cell r="D13">
            <v>0.51</v>
          </cell>
          <cell r="F13">
            <v>12.67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</sheetNames>
    <sheetDataSet>
      <sheetData sheetId="0">
        <row r="2">
          <cell r="A2">
            <v>0.02</v>
          </cell>
          <cell r="B2">
            <v>0.56999999999999995</v>
          </cell>
          <cell r="C2">
            <v>0.47</v>
          </cell>
          <cell r="D2">
            <v>0.1</v>
          </cell>
        </row>
        <row r="3">
          <cell r="A3">
            <v>0.05</v>
          </cell>
          <cell r="B3">
            <v>0.62</v>
          </cell>
          <cell r="C3">
            <v>0.46</v>
          </cell>
          <cell r="D3">
            <v>0.16</v>
          </cell>
        </row>
        <row r="4">
          <cell r="A4">
            <v>7.0000000000000007E-2</v>
          </cell>
          <cell r="B4">
            <v>0.68</v>
          </cell>
          <cell r="C4">
            <v>0.46</v>
          </cell>
          <cell r="D4">
            <v>0.22</v>
          </cell>
        </row>
        <row r="5">
          <cell r="A5">
            <v>0.1</v>
          </cell>
          <cell r="B5">
            <v>0.76</v>
          </cell>
          <cell r="C5">
            <v>0.34</v>
          </cell>
          <cell r="D5">
            <v>0.42</v>
          </cell>
        </row>
        <row r="6">
          <cell r="A6">
            <v>0.15</v>
          </cell>
          <cell r="B6">
            <v>0.87</v>
          </cell>
          <cell r="C6">
            <v>0.37</v>
          </cell>
          <cell r="D6">
            <v>0.5</v>
          </cell>
        </row>
        <row r="7">
          <cell r="A7">
            <v>0.25</v>
          </cell>
          <cell r="B7">
            <v>0.96</v>
          </cell>
          <cell r="C7">
            <v>0.41</v>
          </cell>
          <cell r="D7">
            <v>0.55000000000000004</v>
          </cell>
        </row>
        <row r="8">
          <cell r="A8">
            <v>0.5</v>
          </cell>
          <cell r="B8">
            <v>1.29</v>
          </cell>
          <cell r="C8">
            <v>0.51</v>
          </cell>
          <cell r="D8">
            <v>0.78</v>
          </cell>
        </row>
        <row r="9">
          <cell r="A9">
            <v>1</v>
          </cell>
          <cell r="B9">
            <v>2.0099999999999998</v>
          </cell>
          <cell r="C9">
            <v>0.59</v>
          </cell>
          <cell r="D9">
            <v>1.43</v>
          </cell>
        </row>
        <row r="10">
          <cell r="A10">
            <v>1.5</v>
          </cell>
          <cell r="B10">
            <v>2.69</v>
          </cell>
          <cell r="C10">
            <v>0.56999999999999995</v>
          </cell>
          <cell r="D10">
            <v>2.12</v>
          </cell>
        </row>
        <row r="11">
          <cell r="A11">
            <v>2</v>
          </cell>
          <cell r="B11">
            <v>3.51</v>
          </cell>
          <cell r="C11">
            <v>0.56000000000000005</v>
          </cell>
          <cell r="D11">
            <v>2.95</v>
          </cell>
        </row>
        <row r="12">
          <cell r="A12">
            <v>2.5</v>
          </cell>
          <cell r="B12">
            <v>3.6</v>
          </cell>
          <cell r="C12">
            <v>0.57999999999999996</v>
          </cell>
          <cell r="D12">
            <v>3.02</v>
          </cell>
        </row>
        <row r="13">
          <cell r="A13">
            <v>3</v>
          </cell>
          <cell r="B13">
            <v>4.2300000000000004</v>
          </cell>
          <cell r="C13">
            <v>0.56000000000000005</v>
          </cell>
          <cell r="D13">
            <v>3.67</v>
          </cell>
        </row>
        <row r="14">
          <cell r="A14">
            <v>5</v>
          </cell>
          <cell r="B14">
            <v>6.48</v>
          </cell>
          <cell r="C14">
            <v>0.55000000000000004</v>
          </cell>
          <cell r="D14">
            <v>5.93</v>
          </cell>
        </row>
        <row r="15">
          <cell r="A15">
            <v>7</v>
          </cell>
          <cell r="B15">
            <v>9.81</v>
          </cell>
          <cell r="C15">
            <v>0.52</v>
          </cell>
          <cell r="D15">
            <v>9.2899999999999991</v>
          </cell>
        </row>
        <row r="16">
          <cell r="A16">
            <v>10</v>
          </cell>
          <cell r="B16">
            <v>13.18</v>
          </cell>
          <cell r="C16">
            <v>0.51</v>
          </cell>
          <cell r="D16">
            <v>12.67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55"/>
  <sheetViews>
    <sheetView zoomScale="80" zoomScaleNormal="80" workbookViewId="0">
      <selection sqref="A1:XFD1048576"/>
    </sheetView>
  </sheetViews>
  <sheetFormatPr defaultColWidth="8.85546875" defaultRowHeight="15" x14ac:dyDescent="0.25"/>
  <cols>
    <col min="1" max="1" width="9.7109375" bestFit="1" customWidth="1"/>
    <col min="10" max="10" width="10.7109375" customWidth="1"/>
  </cols>
  <sheetData>
    <row r="1" spans="1:31" x14ac:dyDescent="0.25">
      <c r="A1" s="7" t="s">
        <v>0</v>
      </c>
    </row>
    <row r="3" spans="1:31" x14ac:dyDescent="0.25">
      <c r="A3" s="5"/>
      <c r="B3" s="5"/>
      <c r="C3" t="s">
        <v>1</v>
      </c>
      <c r="D3" s="5"/>
      <c r="E3" s="5"/>
      <c r="F3" s="5"/>
      <c r="G3" s="5"/>
      <c r="H3" s="5"/>
      <c r="I3" s="5" t="s">
        <v>137</v>
      </c>
      <c r="J3" s="6">
        <v>45968</v>
      </c>
      <c r="K3" s="5"/>
      <c r="L3" s="5"/>
      <c r="M3" s="5"/>
      <c r="N3" s="5"/>
      <c r="O3" s="5"/>
      <c r="P3" s="5"/>
      <c r="Q3" s="5"/>
      <c r="R3" s="5"/>
      <c r="S3" s="5"/>
      <c r="U3" s="19" t="s">
        <v>138</v>
      </c>
      <c r="V3" s="20"/>
      <c r="W3" s="20"/>
      <c r="X3" s="20"/>
      <c r="Y3" s="20"/>
      <c r="Z3" s="20"/>
      <c r="AA3" s="20"/>
      <c r="AB3" s="20"/>
      <c r="AC3" s="20"/>
      <c r="AD3" s="20"/>
      <c r="AE3" s="20"/>
    </row>
    <row r="4" spans="1:31" s="4" customFormat="1" x14ac:dyDescent="0.25">
      <c r="A4" s="16" t="s">
        <v>2</v>
      </c>
      <c r="B4" s="16"/>
      <c r="C4" s="16"/>
      <c r="D4" s="16"/>
      <c r="E4" s="16"/>
      <c r="F4" s="16"/>
      <c r="G4" s="16"/>
      <c r="H4" s="16"/>
      <c r="I4" s="16"/>
      <c r="J4" s="16"/>
      <c r="Z4" s="4" t="s">
        <v>100</v>
      </c>
    </row>
    <row r="5" spans="1:31" x14ac:dyDescent="0.25">
      <c r="A5" t="s">
        <v>6</v>
      </c>
      <c r="E5" t="s">
        <v>12</v>
      </c>
      <c r="I5" t="s">
        <v>18</v>
      </c>
      <c r="M5" t="s">
        <v>35</v>
      </c>
      <c r="Q5" t="s">
        <v>60</v>
      </c>
      <c r="U5" t="s">
        <v>103</v>
      </c>
      <c r="Y5" t="s">
        <v>108</v>
      </c>
      <c r="AC5" t="s">
        <v>114</v>
      </c>
    </row>
    <row r="6" spans="1:31" x14ac:dyDescent="0.25">
      <c r="A6" t="s">
        <v>7</v>
      </c>
      <c r="E6" t="s">
        <v>13</v>
      </c>
      <c r="I6" t="s">
        <v>9</v>
      </c>
      <c r="M6" t="s">
        <v>56</v>
      </c>
      <c r="Q6" t="s">
        <v>58</v>
      </c>
      <c r="U6" t="s">
        <v>104</v>
      </c>
      <c r="Y6" t="s">
        <v>109</v>
      </c>
      <c r="AC6" t="s">
        <v>115</v>
      </c>
    </row>
    <row r="7" spans="1:31" x14ac:dyDescent="0.25">
      <c r="A7" t="s">
        <v>8</v>
      </c>
      <c r="E7" t="s">
        <v>14</v>
      </c>
      <c r="I7" t="s">
        <v>19</v>
      </c>
      <c r="M7" t="s">
        <v>57</v>
      </c>
      <c r="Q7" t="s">
        <v>61</v>
      </c>
      <c r="U7" t="s">
        <v>105</v>
      </c>
      <c r="Y7" t="s">
        <v>110</v>
      </c>
      <c r="AC7" t="s">
        <v>116</v>
      </c>
    </row>
    <row r="8" spans="1:31" x14ac:dyDescent="0.25">
      <c r="A8" t="s">
        <v>9</v>
      </c>
      <c r="E8" t="s">
        <v>15</v>
      </c>
      <c r="I8" t="s">
        <v>9</v>
      </c>
      <c r="M8" t="s">
        <v>58</v>
      </c>
      <c r="Q8" t="s">
        <v>58</v>
      </c>
      <c r="U8" t="s">
        <v>106</v>
      </c>
      <c r="Y8" t="s">
        <v>111</v>
      </c>
      <c r="AC8" t="s">
        <v>104</v>
      </c>
    </row>
    <row r="9" spans="1:31" x14ac:dyDescent="0.25">
      <c r="A9" t="s">
        <v>10</v>
      </c>
      <c r="E9" t="s">
        <v>16</v>
      </c>
      <c r="I9" t="s">
        <v>20</v>
      </c>
      <c r="M9" t="s">
        <v>59</v>
      </c>
      <c r="Q9" t="s">
        <v>62</v>
      </c>
      <c r="U9" t="s">
        <v>107</v>
      </c>
      <c r="Y9" t="s">
        <v>112</v>
      </c>
      <c r="AC9" t="s">
        <v>117</v>
      </c>
    </row>
    <row r="10" spans="1:31" x14ac:dyDescent="0.25">
      <c r="A10" t="s">
        <v>11</v>
      </c>
      <c r="E10" t="s">
        <v>17</v>
      </c>
      <c r="I10" t="s">
        <v>21</v>
      </c>
      <c r="M10" t="s">
        <v>56</v>
      </c>
      <c r="Q10" t="s">
        <v>63</v>
      </c>
      <c r="U10" t="s">
        <v>104</v>
      </c>
      <c r="Y10" t="s">
        <v>113</v>
      </c>
      <c r="AC10" t="s">
        <v>118</v>
      </c>
    </row>
    <row r="12" spans="1:31" x14ac:dyDescent="0.25">
      <c r="A12" s="1" t="s">
        <v>5</v>
      </c>
      <c r="B12" s="2">
        <f>AVERAGE(1.62,1.62,1.63)</f>
        <v>1.6233333333333333</v>
      </c>
      <c r="E12" s="1" t="s">
        <v>5</v>
      </c>
      <c r="F12" s="2">
        <f>AVERAGE(1.62,1.64,1.62)</f>
        <v>1.6266666666666667</v>
      </c>
      <c r="I12" s="1" t="s">
        <v>5</v>
      </c>
      <c r="J12" s="2">
        <f>AVERAGE(1.62,1.63,1.62)</f>
        <v>1.6233333333333333</v>
      </c>
      <c r="M12" s="1" t="s">
        <v>5</v>
      </c>
      <c r="N12" s="2">
        <f>AVERAGE(1.47,1.48,1.47)</f>
        <v>1.4733333333333334</v>
      </c>
      <c r="Q12" s="1" t="s">
        <v>5</v>
      </c>
      <c r="R12" s="2">
        <f>AVERAGE(1.48,1.48,1.49)</f>
        <v>1.4833333333333334</v>
      </c>
      <c r="U12" s="1" t="s">
        <v>5</v>
      </c>
      <c r="V12" s="2">
        <f>AVERAGE(1.44,1.44,1.42)</f>
        <v>1.4333333333333333</v>
      </c>
      <c r="Y12" s="1" t="s">
        <v>5</v>
      </c>
      <c r="Z12" s="2">
        <f>AVERAGE(1.43,1.44,1.43)</f>
        <v>1.4333333333333333</v>
      </c>
      <c r="AC12" s="1" t="s">
        <v>5</v>
      </c>
      <c r="AD12" s="2">
        <f>AVERAGE(1.44,1.44,1.43)</f>
        <v>1.4366666666666665</v>
      </c>
    </row>
    <row r="13" spans="1:31" s="4" customFormat="1" x14ac:dyDescent="0.25">
      <c r="A13" s="16" t="s">
        <v>3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T13" s="4" t="s">
        <v>101</v>
      </c>
      <c r="AD13" s="4" t="s">
        <v>119</v>
      </c>
    </row>
    <row r="14" spans="1:31" x14ac:dyDescent="0.25">
      <c r="A14" s="15">
        <v>0.1</v>
      </c>
      <c r="B14" s="15"/>
      <c r="E14" s="15">
        <v>0.15</v>
      </c>
      <c r="F14" s="15"/>
      <c r="I14" s="15">
        <v>0.25</v>
      </c>
      <c r="J14" s="15"/>
      <c r="M14" s="15">
        <v>0.5</v>
      </c>
      <c r="N14" s="15"/>
      <c r="Q14" s="15">
        <v>1</v>
      </c>
      <c r="R14" s="15"/>
      <c r="U14" s="15">
        <v>2.5</v>
      </c>
      <c r="V14" s="15"/>
      <c r="Y14" s="15">
        <v>3</v>
      </c>
      <c r="Z14" s="15"/>
      <c r="AC14" s="15">
        <v>5</v>
      </c>
      <c r="AD14" s="15"/>
    </row>
    <row r="15" spans="1:31" x14ac:dyDescent="0.25">
      <c r="A15" t="s">
        <v>35</v>
      </c>
      <c r="E15" t="s">
        <v>29</v>
      </c>
      <c r="I15" t="s">
        <v>22</v>
      </c>
      <c r="M15" t="s">
        <v>64</v>
      </c>
      <c r="Q15" t="s">
        <v>70</v>
      </c>
      <c r="U15" t="s">
        <v>120</v>
      </c>
      <c r="Y15" t="s">
        <v>120</v>
      </c>
      <c r="AC15" t="s">
        <v>131</v>
      </c>
    </row>
    <row r="16" spans="1:31" x14ac:dyDescent="0.25">
      <c r="A16" t="s">
        <v>36</v>
      </c>
      <c r="E16" t="s">
        <v>30</v>
      </c>
      <c r="I16" t="s">
        <v>23</v>
      </c>
      <c r="M16" t="s">
        <v>65</v>
      </c>
      <c r="Q16" t="s">
        <v>71</v>
      </c>
      <c r="U16" t="s">
        <v>121</v>
      </c>
      <c r="Y16" t="s">
        <v>126</v>
      </c>
      <c r="AC16" t="s">
        <v>132</v>
      </c>
    </row>
    <row r="17" spans="1:30" x14ac:dyDescent="0.25">
      <c r="A17" t="s">
        <v>37</v>
      </c>
      <c r="E17" t="s">
        <v>31</v>
      </c>
      <c r="I17" t="s">
        <v>24</v>
      </c>
      <c r="M17" t="s">
        <v>66</v>
      </c>
      <c r="Q17" t="s">
        <v>24</v>
      </c>
      <c r="U17" t="s">
        <v>122</v>
      </c>
      <c r="Y17" t="s">
        <v>127</v>
      </c>
      <c r="AC17" t="s">
        <v>133</v>
      </c>
    </row>
    <row r="18" spans="1:30" x14ac:dyDescent="0.25">
      <c r="A18" t="s">
        <v>38</v>
      </c>
      <c r="E18" t="s">
        <v>32</v>
      </c>
      <c r="I18" t="s">
        <v>25</v>
      </c>
      <c r="M18" t="s">
        <v>67</v>
      </c>
      <c r="Q18" t="s">
        <v>72</v>
      </c>
      <c r="U18" t="s">
        <v>123</v>
      </c>
      <c r="Y18" t="s">
        <v>128</v>
      </c>
      <c r="AC18" t="s">
        <v>134</v>
      </c>
    </row>
    <row r="19" spans="1:30" x14ac:dyDescent="0.25">
      <c r="A19" t="s">
        <v>39</v>
      </c>
      <c r="E19" t="s">
        <v>33</v>
      </c>
      <c r="I19" t="s">
        <v>26</v>
      </c>
      <c r="M19" t="s">
        <v>68</v>
      </c>
      <c r="Q19" t="s">
        <v>73</v>
      </c>
      <c r="U19" t="s">
        <v>124</v>
      </c>
      <c r="Y19" t="s">
        <v>129</v>
      </c>
      <c r="AC19" t="s">
        <v>135</v>
      </c>
    </row>
    <row r="20" spans="1:30" x14ac:dyDescent="0.25">
      <c r="A20" t="s">
        <v>40</v>
      </c>
      <c r="E20" t="s">
        <v>34</v>
      </c>
      <c r="I20" t="s">
        <v>27</v>
      </c>
      <c r="M20" t="s">
        <v>69</v>
      </c>
      <c r="Q20" t="s">
        <v>74</v>
      </c>
      <c r="U20" t="s">
        <v>125</v>
      </c>
      <c r="Y20" t="s">
        <v>130</v>
      </c>
      <c r="AC20" t="s">
        <v>136</v>
      </c>
    </row>
    <row r="21" spans="1:30" x14ac:dyDescent="0.25">
      <c r="A21" s="1" t="s">
        <v>5</v>
      </c>
      <c r="B21" s="2">
        <f>AVERAGE(0.76,0.76,0.77)</f>
        <v>0.76333333333333331</v>
      </c>
      <c r="E21" s="1" t="s">
        <v>5</v>
      </c>
      <c r="F21" s="2">
        <f>AVERAGE(0.88,0.88,0.86)</f>
        <v>0.87333333333333341</v>
      </c>
      <c r="I21" s="1" t="s">
        <v>5</v>
      </c>
      <c r="J21" s="2">
        <f>AVERAGE(0.98,0.95,0.94)</f>
        <v>0.95666666666666667</v>
      </c>
      <c r="M21" s="1" t="s">
        <v>5</v>
      </c>
      <c r="N21" s="2">
        <f>AVERAGE(1.29,1.28,1.3)</f>
        <v>1.29</v>
      </c>
      <c r="Q21" s="1" t="s">
        <v>5</v>
      </c>
      <c r="R21" s="2">
        <f>AVERAGE(2.02,2.01,2.01)</f>
        <v>2.0133333333333332</v>
      </c>
      <c r="U21" s="1" t="s">
        <v>5</v>
      </c>
      <c r="V21" s="2">
        <f>AVERAGE(3.55,3.63,3.61)</f>
        <v>3.5966666666666662</v>
      </c>
      <c r="Y21" s="1" t="s">
        <v>5</v>
      </c>
      <c r="Z21" s="2">
        <f>AVERAGE(4.28,4.21,4.21)</f>
        <v>4.2333333333333334</v>
      </c>
      <c r="AC21" s="1" t="s">
        <v>5</v>
      </c>
      <c r="AD21" s="2">
        <f>AVERAGE(6.45,6.45,6.55)</f>
        <v>6.4833333333333334</v>
      </c>
    </row>
    <row r="22" spans="1:30" x14ac:dyDescent="0.25">
      <c r="A22" s="1" t="s">
        <v>28</v>
      </c>
      <c r="B22" s="3">
        <f>_xlfn.STDEV.S(0.013,0.011,0.011)</f>
        <v>1.1547005383792516E-3</v>
      </c>
      <c r="E22" s="1" t="s">
        <v>28</v>
      </c>
      <c r="F22" s="3">
        <f>_xlfn.STDEV.S(0.013,0.011,0.011)</f>
        <v>1.1547005383792516E-3</v>
      </c>
      <c r="I22" s="1" t="s">
        <v>28</v>
      </c>
      <c r="J22" s="3">
        <f>_xlfn.STDEV.S(0.013,0.011,0.011)</f>
        <v>1.1547005383792516E-3</v>
      </c>
      <c r="M22" s="1" t="s">
        <v>28</v>
      </c>
      <c r="N22" s="3">
        <f>_xlfn.STDEV.S(0.015,0.012,0.011)</f>
        <v>2.0816659994661326E-3</v>
      </c>
      <c r="Q22" s="1" t="s">
        <v>28</v>
      </c>
      <c r="R22" s="3">
        <f>_xlfn.STDEV.S(0.015,0.01,0.011)</f>
        <v>2.6457513110645903E-3</v>
      </c>
      <c r="U22" s="1" t="s">
        <v>28</v>
      </c>
      <c r="V22" s="3">
        <f>_xlfn.STDEV.S(0.012,0.011,0.011)</f>
        <v>5.7735026918962623E-4</v>
      </c>
      <c r="Y22" s="1" t="s">
        <v>28</v>
      </c>
      <c r="Z22" s="3">
        <f>_xlfn.STDEV.S(0.012,0.012,0.013)</f>
        <v>5.7735026918962525E-4</v>
      </c>
      <c r="AC22" s="1" t="s">
        <v>28</v>
      </c>
      <c r="AD22" s="3">
        <f>_xlfn.STDEV.S(0.014,0.012,0.011)</f>
        <v>1.527525231651947E-3</v>
      </c>
    </row>
    <row r="23" spans="1:30" s="4" customFormat="1" x14ac:dyDescent="0.25">
      <c r="A23" s="16" t="s">
        <v>4</v>
      </c>
      <c r="B23" s="16"/>
      <c r="C23" s="16"/>
      <c r="D23" s="16"/>
      <c r="E23" s="16"/>
      <c r="F23" s="16"/>
      <c r="G23" s="16"/>
      <c r="H23" s="16"/>
      <c r="I23" s="16"/>
      <c r="J23" s="16"/>
      <c r="T23" s="4" t="s">
        <v>102</v>
      </c>
    </row>
    <row r="24" spans="1:30" x14ac:dyDescent="0.25">
      <c r="A24" s="15">
        <v>0.1</v>
      </c>
      <c r="B24" s="15"/>
      <c r="E24" s="15">
        <v>0.15</v>
      </c>
      <c r="F24" s="15"/>
      <c r="I24" s="15">
        <v>0.25</v>
      </c>
      <c r="J24" s="15"/>
      <c r="M24" s="15">
        <v>0.5</v>
      </c>
      <c r="N24" s="15"/>
      <c r="Q24" s="15">
        <v>1</v>
      </c>
      <c r="R24" s="15"/>
      <c r="U24" s="15">
        <v>2.5</v>
      </c>
      <c r="V24" s="15"/>
      <c r="Y24" s="15">
        <v>3</v>
      </c>
      <c r="Z24" s="15"/>
      <c r="AC24" s="15">
        <v>5</v>
      </c>
      <c r="AD24" s="15"/>
    </row>
    <row r="25" spans="1:30" x14ac:dyDescent="0.25">
      <c r="A25" t="s">
        <v>51</v>
      </c>
      <c r="E25" t="s">
        <v>46</v>
      </c>
      <c r="I25" t="s">
        <v>41</v>
      </c>
      <c r="M25" t="s">
        <v>75</v>
      </c>
      <c r="Q25" t="s">
        <v>81</v>
      </c>
      <c r="U25" t="s">
        <v>139</v>
      </c>
      <c r="Y25" t="s">
        <v>144</v>
      </c>
      <c r="AC25" t="s">
        <v>156</v>
      </c>
    </row>
    <row r="26" spans="1:30" x14ac:dyDescent="0.25">
      <c r="A26" t="s">
        <v>52</v>
      </c>
      <c r="E26" t="s">
        <v>47</v>
      </c>
      <c r="I26" t="s">
        <v>42</v>
      </c>
      <c r="M26" t="s">
        <v>76</v>
      </c>
      <c r="Q26" t="s">
        <v>82</v>
      </c>
      <c r="U26" t="s">
        <v>140</v>
      </c>
      <c r="Y26" t="s">
        <v>145</v>
      </c>
      <c r="AC26" t="s">
        <v>157</v>
      </c>
    </row>
    <row r="27" spans="1:30" x14ac:dyDescent="0.25">
      <c r="A27" t="s">
        <v>53</v>
      </c>
      <c r="E27" t="s">
        <v>48</v>
      </c>
      <c r="I27" t="s">
        <v>18</v>
      </c>
      <c r="M27" t="s">
        <v>79</v>
      </c>
      <c r="Q27" t="s">
        <v>83</v>
      </c>
      <c r="U27" t="s">
        <v>143</v>
      </c>
      <c r="Y27" t="s">
        <v>158</v>
      </c>
      <c r="AC27" t="s">
        <v>148</v>
      </c>
    </row>
    <row r="28" spans="1:30" x14ac:dyDescent="0.25">
      <c r="A28" t="s">
        <v>54</v>
      </c>
      <c r="E28" t="s">
        <v>49</v>
      </c>
      <c r="I28" t="s">
        <v>43</v>
      </c>
      <c r="M28" t="s">
        <v>80</v>
      </c>
      <c r="Q28" t="s">
        <v>84</v>
      </c>
      <c r="U28" t="s">
        <v>140</v>
      </c>
      <c r="Y28" t="s">
        <v>159</v>
      </c>
      <c r="AC28" t="s">
        <v>145</v>
      </c>
    </row>
    <row r="29" spans="1:30" x14ac:dyDescent="0.25">
      <c r="A29" t="s">
        <v>55</v>
      </c>
      <c r="E29" t="s">
        <v>50</v>
      </c>
      <c r="I29" t="s">
        <v>44</v>
      </c>
      <c r="M29" t="s">
        <v>77</v>
      </c>
      <c r="Q29" t="s">
        <v>85</v>
      </c>
      <c r="U29" t="s">
        <v>141</v>
      </c>
      <c r="Y29" t="s">
        <v>146</v>
      </c>
      <c r="AC29" t="s">
        <v>154</v>
      </c>
    </row>
    <row r="30" spans="1:30" x14ac:dyDescent="0.25">
      <c r="A30" t="s">
        <v>54</v>
      </c>
      <c r="E30" t="s">
        <v>47</v>
      </c>
      <c r="I30" t="s">
        <v>45</v>
      </c>
      <c r="M30" t="s">
        <v>78</v>
      </c>
      <c r="Q30" t="s">
        <v>86</v>
      </c>
      <c r="U30" t="s">
        <v>142</v>
      </c>
      <c r="Y30" t="s">
        <v>147</v>
      </c>
      <c r="AC30" t="s">
        <v>155</v>
      </c>
    </row>
    <row r="31" spans="1:30" x14ac:dyDescent="0.25">
      <c r="A31" s="1" t="s">
        <v>5</v>
      </c>
      <c r="B31" s="2">
        <f>AVERAGE(0.35,0.34,0.34)</f>
        <v>0.34333333333333332</v>
      </c>
      <c r="E31" s="1" t="s">
        <v>5</v>
      </c>
      <c r="F31" s="2">
        <f>AVERAGE(0.38,0.36,0.38)</f>
        <v>0.37333333333333335</v>
      </c>
      <c r="I31" s="1" t="s">
        <v>5</v>
      </c>
      <c r="J31" s="2">
        <f>AVERAGE(0.41,0.4,0.41)</f>
        <v>0.40666666666666668</v>
      </c>
      <c r="M31" s="1" t="s">
        <v>5</v>
      </c>
      <c r="N31" s="2">
        <f>AVERAGE(0.52,0.5,0.51)</f>
        <v>0.51</v>
      </c>
      <c r="Q31" s="1" t="s">
        <v>5</v>
      </c>
      <c r="R31" s="2">
        <f>AVERAGE(0.6,0.59,0.57)</f>
        <v>0.58666666666666656</v>
      </c>
      <c r="U31" s="1" t="s">
        <v>5</v>
      </c>
      <c r="V31" s="2">
        <f>AVERAGE(0.6,0.57,0.57)</f>
        <v>0.57999999999999996</v>
      </c>
      <c r="Y31" s="1" t="s">
        <v>5</v>
      </c>
      <c r="Z31" s="2">
        <f>AVERAGE(0.55,0.56,0.57)</f>
        <v>0.56000000000000005</v>
      </c>
      <c r="AC31" s="1" t="s">
        <v>5</v>
      </c>
      <c r="AD31" s="2">
        <f>AVERAGE(0.56,0.55,0.55)</f>
        <v>0.55333333333333334</v>
      </c>
    </row>
    <row r="32" spans="1:30" x14ac:dyDescent="0.25">
      <c r="A32" s="1" t="s">
        <v>28</v>
      </c>
      <c r="B32" s="3">
        <f>_xlfn.STDEV.S(0.013,0.011,0.011)</f>
        <v>1.1547005383792516E-3</v>
      </c>
      <c r="E32" s="1" t="s">
        <v>28</v>
      </c>
      <c r="F32" s="3">
        <f>_xlfn.STDEV.S(0.013,0.011,0.011)</f>
        <v>1.1547005383792516E-3</v>
      </c>
      <c r="I32" s="1" t="s">
        <v>28</v>
      </c>
      <c r="J32" s="3">
        <f>_xlfn.STDEV.S(0.013,0.011,0.011)</f>
        <v>1.1547005383792516E-3</v>
      </c>
      <c r="M32" s="1" t="s">
        <v>28</v>
      </c>
      <c r="N32" s="3">
        <f>_xlfn.STDEV.S(0.013,0.013,0.012)</f>
        <v>5.7735026918962525E-4</v>
      </c>
      <c r="Q32" s="1" t="s">
        <v>28</v>
      </c>
      <c r="R32" s="3">
        <f>_xlfn.STDEV.S(0.018,0.011,0.011)</f>
        <v>4.0414518843273914E-3</v>
      </c>
      <c r="U32" s="1" t="s">
        <v>28</v>
      </c>
      <c r="V32" s="3">
        <f>_xlfn.STDEV.S(0.018,0.011,0.011)</f>
        <v>4.0414518843273914E-3</v>
      </c>
      <c r="Y32" s="1" t="s">
        <v>28</v>
      </c>
      <c r="Z32" s="3">
        <f>_xlfn.STDEV.S(0.015,0.014,0.015)</f>
        <v>5.7735026918962525E-4</v>
      </c>
      <c r="AC32" s="1" t="s">
        <v>28</v>
      </c>
      <c r="AD32" s="3">
        <f>_xlfn.STDEV.S(0.013,0.012,0.015)</f>
        <v>1.5275252316519464E-3</v>
      </c>
    </row>
    <row r="33" spans="2:30" s="4" customFormat="1" x14ac:dyDescent="0.25">
      <c r="T33" s="4" t="s">
        <v>161</v>
      </c>
    </row>
    <row r="34" spans="2:30" x14ac:dyDescent="0.25">
      <c r="B34" s="10">
        <f>B21-B31</f>
        <v>0.42</v>
      </c>
      <c r="F34" s="10">
        <f>F21-F31</f>
        <v>0.5</v>
      </c>
      <c r="J34" s="10">
        <f>J21-J31</f>
        <v>0.55000000000000004</v>
      </c>
      <c r="N34" s="10">
        <f>N21-N31</f>
        <v>0.78</v>
      </c>
      <c r="R34" s="10">
        <f>R21-R31</f>
        <v>1.4266666666666667</v>
      </c>
      <c r="V34" s="10">
        <f>V21-V31</f>
        <v>3.0166666666666662</v>
      </c>
      <c r="Z34" s="10">
        <f>Z21-Z31</f>
        <v>3.6733333333333333</v>
      </c>
      <c r="AD34" s="10">
        <f>AD21-AD31</f>
        <v>5.93</v>
      </c>
    </row>
    <row r="35" spans="2:30" x14ac:dyDescent="0.25">
      <c r="C35" s="17" t="s">
        <v>89</v>
      </c>
      <c r="D35" s="17"/>
      <c r="E35" s="17" t="s">
        <v>88</v>
      </c>
      <c r="F35" s="17"/>
      <c r="G35" s="17" t="s">
        <v>87</v>
      </c>
      <c r="H35" s="17"/>
      <c r="I35" s="17"/>
      <c r="J35" s="9" t="s">
        <v>162</v>
      </c>
    </row>
    <row r="36" spans="2:30" x14ac:dyDescent="0.25">
      <c r="C36" s="18">
        <v>0.1</v>
      </c>
      <c r="D36" s="18"/>
      <c r="E36" s="18" t="s">
        <v>90</v>
      </c>
      <c r="F36" s="18"/>
      <c r="G36" s="18" t="s">
        <v>92</v>
      </c>
      <c r="H36" s="18"/>
      <c r="I36" s="18"/>
      <c r="J36" s="8">
        <v>0.42</v>
      </c>
    </row>
    <row r="37" spans="2:30" x14ac:dyDescent="0.25">
      <c r="C37" s="18">
        <v>0.15</v>
      </c>
      <c r="D37" s="18"/>
      <c r="E37" s="18" t="s">
        <v>91</v>
      </c>
      <c r="F37" s="18"/>
      <c r="G37" s="18" t="s">
        <v>93</v>
      </c>
      <c r="H37" s="18"/>
      <c r="I37" s="18"/>
      <c r="J37" s="8">
        <v>0.5</v>
      </c>
    </row>
    <row r="38" spans="2:30" x14ac:dyDescent="0.25">
      <c r="C38" s="18">
        <v>0.25</v>
      </c>
      <c r="D38" s="18"/>
      <c r="E38" s="18" t="s">
        <v>94</v>
      </c>
      <c r="F38" s="18"/>
      <c r="G38" s="18" t="s">
        <v>95</v>
      </c>
      <c r="H38" s="18"/>
      <c r="I38" s="18"/>
      <c r="J38" s="8">
        <v>0.55000000000000004</v>
      </c>
    </row>
    <row r="39" spans="2:30" x14ac:dyDescent="0.25">
      <c r="C39" s="18">
        <v>0.5</v>
      </c>
      <c r="D39" s="18"/>
      <c r="E39" s="18" t="s">
        <v>96</v>
      </c>
      <c r="F39" s="18"/>
      <c r="G39" s="18" t="s">
        <v>97</v>
      </c>
      <c r="H39" s="18"/>
      <c r="I39" s="18"/>
      <c r="J39" s="8">
        <v>0.78</v>
      </c>
    </row>
    <row r="40" spans="2:30" x14ac:dyDescent="0.25">
      <c r="C40" s="18">
        <v>1</v>
      </c>
      <c r="D40" s="18"/>
      <c r="E40" s="18" t="s">
        <v>98</v>
      </c>
      <c r="F40" s="18"/>
      <c r="G40" s="18" t="s">
        <v>99</v>
      </c>
      <c r="H40" s="18"/>
      <c r="I40" s="18"/>
      <c r="J40" s="8">
        <v>1.43</v>
      </c>
    </row>
    <row r="41" spans="2:30" x14ac:dyDescent="0.25">
      <c r="C41" s="18">
        <v>2.5</v>
      </c>
      <c r="D41" s="18"/>
      <c r="E41" s="18" t="s">
        <v>149</v>
      </c>
      <c r="F41" s="18"/>
      <c r="G41" s="21" t="s">
        <v>150</v>
      </c>
      <c r="H41" s="22"/>
      <c r="I41" s="23"/>
      <c r="J41" s="8">
        <v>3.02</v>
      </c>
    </row>
    <row r="42" spans="2:30" x14ac:dyDescent="0.25">
      <c r="C42" s="18">
        <v>3</v>
      </c>
      <c r="D42" s="18"/>
      <c r="E42" s="18" t="s">
        <v>151</v>
      </c>
      <c r="F42" s="18"/>
      <c r="G42" s="18" t="s">
        <v>152</v>
      </c>
      <c r="H42" s="18"/>
      <c r="I42" s="18"/>
      <c r="J42" s="8">
        <v>3.67</v>
      </c>
    </row>
    <row r="43" spans="2:30" x14ac:dyDescent="0.25">
      <c r="C43" s="18">
        <v>5</v>
      </c>
      <c r="D43" s="18"/>
      <c r="E43" s="18" t="s">
        <v>153</v>
      </c>
      <c r="F43" s="18"/>
      <c r="G43" s="18" t="s">
        <v>160</v>
      </c>
      <c r="H43" s="18"/>
      <c r="I43" s="18"/>
      <c r="J43" s="8">
        <v>5.93</v>
      </c>
    </row>
    <row r="47" spans="2:30" x14ac:dyDescent="0.25">
      <c r="C47" s="11" t="s">
        <v>163</v>
      </c>
      <c r="D47" s="11" t="s">
        <v>88</v>
      </c>
      <c r="E47" s="11" t="s">
        <v>87</v>
      </c>
      <c r="F47" s="11" t="s">
        <v>164</v>
      </c>
    </row>
    <row r="48" spans="2:30" x14ac:dyDescent="0.25">
      <c r="C48">
        <v>0.1</v>
      </c>
      <c r="D48">
        <v>0.76</v>
      </c>
      <c r="E48">
        <v>0.34</v>
      </c>
      <c r="F48">
        <v>0.42</v>
      </c>
    </row>
    <row r="49" spans="3:6" x14ac:dyDescent="0.25">
      <c r="C49">
        <v>0.15</v>
      </c>
      <c r="D49">
        <v>0.87</v>
      </c>
      <c r="E49">
        <v>0.37</v>
      </c>
      <c r="F49">
        <v>0.5</v>
      </c>
    </row>
    <row r="50" spans="3:6" x14ac:dyDescent="0.25">
      <c r="C50">
        <v>0.25</v>
      </c>
      <c r="D50">
        <v>0.96</v>
      </c>
      <c r="E50">
        <v>0.41</v>
      </c>
      <c r="F50">
        <v>0.55000000000000004</v>
      </c>
    </row>
    <row r="51" spans="3:6" x14ac:dyDescent="0.25">
      <c r="C51">
        <v>0.5</v>
      </c>
      <c r="D51">
        <v>1.29</v>
      </c>
      <c r="E51">
        <v>0.51</v>
      </c>
      <c r="F51">
        <v>0.78</v>
      </c>
    </row>
    <row r="52" spans="3:6" x14ac:dyDescent="0.25">
      <c r="C52">
        <v>1</v>
      </c>
      <c r="D52">
        <v>2.0099999999999998</v>
      </c>
      <c r="E52">
        <v>0.59</v>
      </c>
      <c r="F52">
        <v>1.43</v>
      </c>
    </row>
    <row r="53" spans="3:6" x14ac:dyDescent="0.25">
      <c r="C53">
        <v>2.5</v>
      </c>
      <c r="D53">
        <v>3.6</v>
      </c>
      <c r="E53">
        <v>0.57999999999999996</v>
      </c>
      <c r="F53">
        <v>3.02</v>
      </c>
    </row>
    <row r="54" spans="3:6" x14ac:dyDescent="0.25">
      <c r="C54">
        <v>3</v>
      </c>
      <c r="D54">
        <v>4.2300000000000004</v>
      </c>
      <c r="E54">
        <v>0.56000000000000005</v>
      </c>
      <c r="F54">
        <v>3.67</v>
      </c>
    </row>
    <row r="55" spans="3:6" x14ac:dyDescent="0.25">
      <c r="C55">
        <v>5</v>
      </c>
      <c r="D55">
        <v>6.48</v>
      </c>
      <c r="E55">
        <v>0.55000000000000004</v>
      </c>
      <c r="F55">
        <v>5.93</v>
      </c>
    </row>
  </sheetData>
  <mergeCells count="47">
    <mergeCell ref="U3:AE3"/>
    <mergeCell ref="C41:D41"/>
    <mergeCell ref="C42:D42"/>
    <mergeCell ref="C43:D43"/>
    <mergeCell ref="E41:F41"/>
    <mergeCell ref="E42:F42"/>
    <mergeCell ref="E43:F43"/>
    <mergeCell ref="G41:I41"/>
    <mergeCell ref="G42:I42"/>
    <mergeCell ref="G43:I43"/>
    <mergeCell ref="U14:V14"/>
    <mergeCell ref="U24:V24"/>
    <mergeCell ref="Y14:Z14"/>
    <mergeCell ref="Y24:Z24"/>
    <mergeCell ref="AC14:AD14"/>
    <mergeCell ref="AC24:AD24"/>
    <mergeCell ref="G36:I36"/>
    <mergeCell ref="G37:I37"/>
    <mergeCell ref="G38:I38"/>
    <mergeCell ref="G39:I39"/>
    <mergeCell ref="G40:I40"/>
    <mergeCell ref="E36:F36"/>
    <mergeCell ref="E37:F37"/>
    <mergeCell ref="E38:F38"/>
    <mergeCell ref="E39:F39"/>
    <mergeCell ref="E40:F40"/>
    <mergeCell ref="C36:D36"/>
    <mergeCell ref="C37:D37"/>
    <mergeCell ref="C38:D38"/>
    <mergeCell ref="C39:D39"/>
    <mergeCell ref="C40:D40"/>
    <mergeCell ref="Q14:R14"/>
    <mergeCell ref="M24:N24"/>
    <mergeCell ref="Q24:R24"/>
    <mergeCell ref="C35:D35"/>
    <mergeCell ref="E35:F35"/>
    <mergeCell ref="G35:I35"/>
    <mergeCell ref="A24:B24"/>
    <mergeCell ref="E24:F24"/>
    <mergeCell ref="I24:J24"/>
    <mergeCell ref="A4:J4"/>
    <mergeCell ref="A23:J23"/>
    <mergeCell ref="A13:O13"/>
    <mergeCell ref="A14:B14"/>
    <mergeCell ref="E14:F14"/>
    <mergeCell ref="I14:J14"/>
    <mergeCell ref="M14:N14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topLeftCell="A88" zoomScale="60" zoomScaleNormal="60" workbookViewId="0">
      <selection activeCell="F109" sqref="F109"/>
    </sheetView>
  </sheetViews>
  <sheetFormatPr defaultColWidth="8.85546875" defaultRowHeight="15" x14ac:dyDescent="0.25"/>
  <cols>
    <col min="2" max="2" width="19.85546875" bestFit="1" customWidth="1"/>
    <col min="3" max="4" width="21.85546875" bestFit="1" customWidth="1"/>
  </cols>
  <sheetData>
    <row r="1" spans="1:4" x14ac:dyDescent="0.25">
      <c r="A1" s="11" t="s">
        <v>163</v>
      </c>
      <c r="B1" s="11" t="s">
        <v>88</v>
      </c>
      <c r="C1" s="11" t="s">
        <v>87</v>
      </c>
      <c r="D1" s="11" t="s">
        <v>164</v>
      </c>
    </row>
    <row r="2" spans="1:4" x14ac:dyDescent="0.25">
      <c r="A2">
        <v>0.1</v>
      </c>
      <c r="B2">
        <v>0.76</v>
      </c>
      <c r="C2">
        <v>0.34</v>
      </c>
      <c r="D2">
        <v>0.42</v>
      </c>
    </row>
    <row r="3" spans="1:4" x14ac:dyDescent="0.25">
      <c r="A3">
        <v>0.15</v>
      </c>
      <c r="B3">
        <v>0.87</v>
      </c>
      <c r="C3">
        <v>0.37</v>
      </c>
      <c r="D3">
        <v>0.5</v>
      </c>
    </row>
    <row r="4" spans="1:4" x14ac:dyDescent="0.25">
      <c r="A4">
        <v>0.25</v>
      </c>
      <c r="B4">
        <v>0.96</v>
      </c>
      <c r="C4">
        <v>0.41</v>
      </c>
      <c r="D4">
        <v>0.55000000000000004</v>
      </c>
    </row>
    <row r="5" spans="1:4" x14ac:dyDescent="0.25">
      <c r="A5">
        <v>0.5</v>
      </c>
      <c r="B5">
        <v>1.29</v>
      </c>
      <c r="C5">
        <v>0.51</v>
      </c>
      <c r="D5">
        <v>0.78</v>
      </c>
    </row>
    <row r="6" spans="1:4" x14ac:dyDescent="0.25">
      <c r="A6">
        <v>1</v>
      </c>
      <c r="B6">
        <v>2.0099999999999998</v>
      </c>
      <c r="C6">
        <v>0.59</v>
      </c>
      <c r="D6">
        <v>1.43</v>
      </c>
    </row>
    <row r="7" spans="1:4" x14ac:dyDescent="0.25">
      <c r="A7">
        <v>2.5</v>
      </c>
      <c r="B7">
        <v>3.6</v>
      </c>
      <c r="C7">
        <v>0.57999999999999996</v>
      </c>
      <c r="D7">
        <v>3.02</v>
      </c>
    </row>
    <row r="8" spans="1:4" x14ac:dyDescent="0.25">
      <c r="A8">
        <v>3</v>
      </c>
      <c r="B8">
        <v>4.2300000000000004</v>
      </c>
      <c r="C8">
        <v>0.56000000000000005</v>
      </c>
      <c r="D8">
        <v>3.67</v>
      </c>
    </row>
    <row r="9" spans="1:4" x14ac:dyDescent="0.25">
      <c r="A9">
        <v>5</v>
      </c>
      <c r="B9">
        <v>6.48</v>
      </c>
      <c r="C9">
        <v>0.55000000000000004</v>
      </c>
      <c r="D9">
        <v>5.93</v>
      </c>
    </row>
    <row r="37" spans="1:5" x14ac:dyDescent="0.25">
      <c r="A37" s="11" t="s">
        <v>163</v>
      </c>
      <c r="B37" s="11" t="s">
        <v>88</v>
      </c>
      <c r="C37" s="11" t="s">
        <v>227</v>
      </c>
      <c r="D37" s="11" t="s">
        <v>87</v>
      </c>
      <c r="E37" s="11" t="s">
        <v>228</v>
      </c>
    </row>
    <row r="38" spans="1:5" x14ac:dyDescent="0.25">
      <c r="A38">
        <v>0.1</v>
      </c>
      <c r="B38">
        <v>0.76</v>
      </c>
      <c r="C38">
        <v>1E-3</v>
      </c>
      <c r="D38">
        <v>0.34</v>
      </c>
      <c r="E38">
        <v>1E-3</v>
      </c>
    </row>
    <row r="39" spans="1:5" x14ac:dyDescent="0.25">
      <c r="A39">
        <v>0.15</v>
      </c>
      <c r="B39">
        <v>0.87</v>
      </c>
      <c r="C39">
        <v>1E-3</v>
      </c>
      <c r="D39">
        <v>0.37</v>
      </c>
      <c r="E39">
        <v>1E-3</v>
      </c>
    </row>
    <row r="40" spans="1:5" x14ac:dyDescent="0.25">
      <c r="A40">
        <v>0.25</v>
      </c>
      <c r="B40">
        <v>0.96</v>
      </c>
      <c r="C40">
        <v>1E-3</v>
      </c>
      <c r="D40">
        <v>0.41</v>
      </c>
      <c r="E40">
        <v>1E-3</v>
      </c>
    </row>
    <row r="41" spans="1:5" x14ac:dyDescent="0.25">
      <c r="A41">
        <v>0.5</v>
      </c>
      <c r="B41">
        <v>1.29</v>
      </c>
      <c r="C41">
        <v>2E-3</v>
      </c>
      <c r="D41">
        <v>0.51</v>
      </c>
      <c r="E41">
        <v>1E-3</v>
      </c>
    </row>
    <row r="42" spans="1:5" x14ac:dyDescent="0.25">
      <c r="A42">
        <v>1</v>
      </c>
      <c r="B42">
        <v>2.0099999999999998</v>
      </c>
      <c r="C42">
        <v>3.0000000000000001E-3</v>
      </c>
      <c r="D42">
        <v>0.59</v>
      </c>
      <c r="E42">
        <v>4.0000000000000001E-3</v>
      </c>
    </row>
    <row r="56" spans="1:6" x14ac:dyDescent="0.25">
      <c r="A56" s="11" t="s">
        <v>163</v>
      </c>
      <c r="B56" s="11" t="s">
        <v>88</v>
      </c>
      <c r="C56" s="11" t="s">
        <v>227</v>
      </c>
      <c r="D56" s="11" t="s">
        <v>87</v>
      </c>
      <c r="E56" s="11" t="s">
        <v>228</v>
      </c>
      <c r="F56" s="11" t="s">
        <v>229</v>
      </c>
    </row>
    <row r="57" spans="1:6" x14ac:dyDescent="0.25">
      <c r="A57">
        <v>0.1</v>
      </c>
      <c r="B57">
        <v>0.76</v>
      </c>
      <c r="C57">
        <v>1E-3</v>
      </c>
      <c r="D57">
        <v>0.34</v>
      </c>
      <c r="E57">
        <v>1E-3</v>
      </c>
      <c r="F57">
        <v>0.42</v>
      </c>
    </row>
    <row r="58" spans="1:6" x14ac:dyDescent="0.25">
      <c r="A58">
        <v>0.15</v>
      </c>
      <c r="B58">
        <v>0.87</v>
      </c>
      <c r="C58">
        <v>1E-3</v>
      </c>
      <c r="D58">
        <v>0.37</v>
      </c>
      <c r="E58">
        <v>1E-3</v>
      </c>
      <c r="F58">
        <v>0.5</v>
      </c>
    </row>
    <row r="59" spans="1:6" x14ac:dyDescent="0.25">
      <c r="A59">
        <v>0.25</v>
      </c>
      <c r="B59">
        <v>0.96</v>
      </c>
      <c r="C59">
        <v>1E-3</v>
      </c>
      <c r="D59">
        <v>0.41</v>
      </c>
      <c r="E59">
        <v>1E-3</v>
      </c>
      <c r="F59">
        <v>0.55000000000000004</v>
      </c>
    </row>
    <row r="60" spans="1:6" x14ac:dyDescent="0.25">
      <c r="A60">
        <v>0.5</v>
      </c>
      <c r="B60">
        <v>1.29</v>
      </c>
      <c r="C60">
        <v>2E-3</v>
      </c>
      <c r="D60">
        <v>0.51</v>
      </c>
      <c r="E60">
        <v>1E-3</v>
      </c>
      <c r="F60">
        <v>0.78</v>
      </c>
    </row>
    <row r="61" spans="1:6" x14ac:dyDescent="0.25">
      <c r="A61">
        <v>1</v>
      </c>
      <c r="B61">
        <v>2.0099999999999998</v>
      </c>
      <c r="C61">
        <v>3.0000000000000001E-3</v>
      </c>
      <c r="D61">
        <v>0.59</v>
      </c>
      <c r="E61">
        <v>4.0000000000000001E-3</v>
      </c>
      <c r="F61">
        <v>1.43</v>
      </c>
    </row>
    <row r="62" spans="1:6" x14ac:dyDescent="0.25">
      <c r="A62">
        <v>1.5</v>
      </c>
      <c r="B62">
        <v>2.69</v>
      </c>
      <c r="C62">
        <v>1E-3</v>
      </c>
      <c r="D62">
        <v>0.56999999999999995</v>
      </c>
      <c r="E62">
        <v>1E-3</v>
      </c>
      <c r="F62">
        <v>2.12</v>
      </c>
    </row>
    <row r="63" spans="1:6" x14ac:dyDescent="0.25">
      <c r="A63">
        <v>2</v>
      </c>
      <c r="B63">
        <v>3.51</v>
      </c>
      <c r="C63">
        <v>0</v>
      </c>
      <c r="D63">
        <v>0.56000000000000005</v>
      </c>
      <c r="E63">
        <v>1E-3</v>
      </c>
      <c r="F63">
        <v>2.95</v>
      </c>
    </row>
    <row r="64" spans="1:6" x14ac:dyDescent="0.25">
      <c r="A64">
        <v>2.5</v>
      </c>
      <c r="B64">
        <v>3.6</v>
      </c>
      <c r="C64">
        <v>1E-3</v>
      </c>
      <c r="D64">
        <v>0.57999999999999996</v>
      </c>
      <c r="E64">
        <v>4.0000000000000001E-3</v>
      </c>
      <c r="F64">
        <v>3.02</v>
      </c>
    </row>
    <row r="65" spans="1:6" x14ac:dyDescent="0.25">
      <c r="A65">
        <v>3</v>
      </c>
      <c r="B65">
        <v>4.2300000000000004</v>
      </c>
      <c r="C65">
        <v>1E-3</v>
      </c>
      <c r="D65">
        <v>0.56000000000000005</v>
      </c>
      <c r="E65">
        <v>1E-3</v>
      </c>
      <c r="F65">
        <v>3.67</v>
      </c>
    </row>
    <row r="66" spans="1:6" x14ac:dyDescent="0.25">
      <c r="A66">
        <v>5</v>
      </c>
      <c r="B66">
        <v>6.48</v>
      </c>
      <c r="C66">
        <v>2E-3</v>
      </c>
      <c r="D66">
        <v>0.55000000000000004</v>
      </c>
      <c r="E66">
        <v>2E-3</v>
      </c>
      <c r="F66">
        <v>5.93</v>
      </c>
    </row>
    <row r="81" spans="1:6" x14ac:dyDescent="0.25">
      <c r="A81" s="11" t="s">
        <v>163</v>
      </c>
      <c r="B81" s="11" t="s">
        <v>88</v>
      </c>
      <c r="C81" s="11" t="s">
        <v>227</v>
      </c>
      <c r="D81" s="11" t="s">
        <v>87</v>
      </c>
      <c r="E81" s="11" t="s">
        <v>228</v>
      </c>
      <c r="F81" s="11" t="s">
        <v>229</v>
      </c>
    </row>
    <row r="82" spans="1:6" x14ac:dyDescent="0.25">
      <c r="A82">
        <v>0.1</v>
      </c>
      <c r="B82">
        <v>0.76</v>
      </c>
      <c r="C82">
        <v>1E-3</v>
      </c>
      <c r="D82">
        <v>0.34</v>
      </c>
      <c r="E82">
        <v>1E-3</v>
      </c>
      <c r="F82">
        <v>0.42</v>
      </c>
    </row>
    <row r="83" spans="1:6" x14ac:dyDescent="0.25">
      <c r="A83">
        <v>0.15</v>
      </c>
      <c r="B83">
        <v>0.87</v>
      </c>
      <c r="C83">
        <v>1E-3</v>
      </c>
      <c r="D83">
        <v>0.37</v>
      </c>
      <c r="E83">
        <v>1E-3</v>
      </c>
      <c r="F83">
        <v>0.5</v>
      </c>
    </row>
    <row r="84" spans="1:6" x14ac:dyDescent="0.25">
      <c r="A84">
        <v>0.25</v>
      </c>
      <c r="B84">
        <v>0.96</v>
      </c>
      <c r="C84">
        <v>1E-3</v>
      </c>
      <c r="D84">
        <v>0.41</v>
      </c>
      <c r="E84">
        <v>1E-3</v>
      </c>
      <c r="F84">
        <v>0.55000000000000004</v>
      </c>
    </row>
    <row r="85" spans="1:6" x14ac:dyDescent="0.25">
      <c r="A85">
        <v>0.5</v>
      </c>
      <c r="B85">
        <v>1.29</v>
      </c>
      <c r="C85">
        <v>2E-3</v>
      </c>
      <c r="D85">
        <v>0.51</v>
      </c>
      <c r="E85">
        <v>1E-3</v>
      </c>
      <c r="F85">
        <v>0.78</v>
      </c>
    </row>
    <row r="86" spans="1:6" x14ac:dyDescent="0.25">
      <c r="A86">
        <v>1</v>
      </c>
      <c r="B86">
        <v>2.0099999999999998</v>
      </c>
      <c r="C86">
        <v>3.0000000000000001E-3</v>
      </c>
      <c r="D86">
        <v>0.59</v>
      </c>
      <c r="E86">
        <v>4.0000000000000001E-3</v>
      </c>
      <c r="F86">
        <v>1.43</v>
      </c>
    </row>
    <row r="87" spans="1:6" x14ac:dyDescent="0.25">
      <c r="A87">
        <v>1.5</v>
      </c>
      <c r="B87">
        <v>2.69</v>
      </c>
      <c r="C87">
        <v>1E-3</v>
      </c>
      <c r="D87">
        <v>0.56999999999999995</v>
      </c>
      <c r="E87">
        <v>1E-3</v>
      </c>
      <c r="F87">
        <v>2.12</v>
      </c>
    </row>
    <row r="88" spans="1:6" x14ac:dyDescent="0.25">
      <c r="A88">
        <v>2</v>
      </c>
      <c r="B88">
        <v>3.51</v>
      </c>
      <c r="C88">
        <v>0</v>
      </c>
      <c r="D88">
        <v>0.56000000000000005</v>
      </c>
      <c r="E88">
        <v>1E-3</v>
      </c>
      <c r="F88">
        <v>2.95</v>
      </c>
    </row>
    <row r="89" spans="1:6" x14ac:dyDescent="0.25">
      <c r="A89">
        <v>2.5</v>
      </c>
      <c r="B89">
        <v>3.6</v>
      </c>
      <c r="C89">
        <v>1E-3</v>
      </c>
      <c r="D89">
        <v>0.57999999999999996</v>
      </c>
      <c r="E89">
        <v>4.0000000000000001E-3</v>
      </c>
      <c r="F89">
        <v>3.02</v>
      </c>
    </row>
    <row r="90" spans="1:6" x14ac:dyDescent="0.25">
      <c r="A90">
        <v>3</v>
      </c>
      <c r="B90">
        <v>4.2300000000000004</v>
      </c>
      <c r="C90">
        <v>1E-3</v>
      </c>
      <c r="D90">
        <v>0.56000000000000005</v>
      </c>
      <c r="E90">
        <v>1E-3</v>
      </c>
      <c r="F90">
        <v>3.67</v>
      </c>
    </row>
    <row r="91" spans="1:6" x14ac:dyDescent="0.25">
      <c r="A91">
        <v>5</v>
      </c>
      <c r="B91">
        <v>6.48</v>
      </c>
      <c r="C91">
        <v>2E-3</v>
      </c>
      <c r="D91">
        <v>0.55000000000000004</v>
      </c>
      <c r="E91">
        <v>2E-3</v>
      </c>
      <c r="F91">
        <v>5.93</v>
      </c>
    </row>
    <row r="92" spans="1:6" x14ac:dyDescent="0.25">
      <c r="A92">
        <v>7</v>
      </c>
      <c r="B92">
        <v>9.81</v>
      </c>
      <c r="C92">
        <v>2E-3</v>
      </c>
      <c r="D92">
        <v>0.52</v>
      </c>
      <c r="E92">
        <v>2E-3</v>
      </c>
      <c r="F92">
        <v>9.2899999999999991</v>
      </c>
    </row>
    <row r="93" spans="1:6" x14ac:dyDescent="0.25">
      <c r="A93">
        <v>10</v>
      </c>
      <c r="B93">
        <v>13.18</v>
      </c>
      <c r="C93">
        <v>1E-3</v>
      </c>
      <c r="D93">
        <v>0.51</v>
      </c>
      <c r="E93">
        <v>2E-3</v>
      </c>
      <c r="F93">
        <v>12.67</v>
      </c>
    </row>
    <row r="107" spans="1:4" x14ac:dyDescent="0.25">
      <c r="A107" s="11" t="s">
        <v>163</v>
      </c>
      <c r="B107" s="11" t="s">
        <v>88</v>
      </c>
      <c r="C107" s="11" t="s">
        <v>87</v>
      </c>
      <c r="D107" s="11" t="s">
        <v>229</v>
      </c>
    </row>
    <row r="108" spans="1:4" x14ac:dyDescent="0.25">
      <c r="A108">
        <v>0.02</v>
      </c>
      <c r="B108">
        <v>0.56999999999999995</v>
      </c>
      <c r="C108">
        <v>0.47</v>
      </c>
      <c r="D108">
        <v>0.1</v>
      </c>
    </row>
    <row r="109" spans="1:4" x14ac:dyDescent="0.25">
      <c r="A109">
        <v>0.05</v>
      </c>
      <c r="B109">
        <v>0.62</v>
      </c>
      <c r="C109">
        <v>0.46</v>
      </c>
      <c r="D109">
        <v>0.16</v>
      </c>
    </row>
    <row r="110" spans="1:4" x14ac:dyDescent="0.25">
      <c r="A110">
        <v>7.0000000000000007E-2</v>
      </c>
      <c r="B110">
        <v>0.68</v>
      </c>
      <c r="C110">
        <v>0.46</v>
      </c>
      <c r="D110">
        <v>0.22</v>
      </c>
    </row>
    <row r="111" spans="1:4" x14ac:dyDescent="0.25">
      <c r="A111">
        <v>0.1</v>
      </c>
      <c r="B111">
        <v>0.76</v>
      </c>
      <c r="C111">
        <v>0.34</v>
      </c>
      <c r="D111">
        <v>0.42</v>
      </c>
    </row>
    <row r="112" spans="1:4" x14ac:dyDescent="0.25">
      <c r="A112">
        <v>0.15</v>
      </c>
      <c r="B112">
        <v>0.87</v>
      </c>
      <c r="C112">
        <v>0.37</v>
      </c>
      <c r="D112">
        <v>0.5</v>
      </c>
    </row>
    <row r="113" spans="1:4" x14ac:dyDescent="0.25">
      <c r="A113">
        <v>0.25</v>
      </c>
      <c r="B113">
        <v>0.96</v>
      </c>
      <c r="C113">
        <v>0.41</v>
      </c>
      <c r="D113">
        <v>0.55000000000000004</v>
      </c>
    </row>
    <row r="114" spans="1:4" x14ac:dyDescent="0.25">
      <c r="A114">
        <v>0.5</v>
      </c>
      <c r="B114">
        <v>1.29</v>
      </c>
      <c r="C114">
        <v>0.51</v>
      </c>
      <c r="D114">
        <v>0.78</v>
      </c>
    </row>
    <row r="115" spans="1:4" x14ac:dyDescent="0.25">
      <c r="A115">
        <v>1</v>
      </c>
      <c r="B115">
        <v>2.0099999999999998</v>
      </c>
      <c r="C115">
        <v>0.59</v>
      </c>
      <c r="D115">
        <v>1.43</v>
      </c>
    </row>
    <row r="116" spans="1:4" x14ac:dyDescent="0.25">
      <c r="A116">
        <v>1.5</v>
      </c>
      <c r="B116">
        <v>2.69</v>
      </c>
      <c r="C116">
        <v>0.56999999999999995</v>
      </c>
      <c r="D116">
        <v>2.12</v>
      </c>
    </row>
    <row r="117" spans="1:4" x14ac:dyDescent="0.25">
      <c r="A117">
        <v>2</v>
      </c>
      <c r="B117">
        <v>3.51</v>
      </c>
      <c r="C117">
        <v>0.56000000000000005</v>
      </c>
      <c r="D117">
        <v>2.95</v>
      </c>
    </row>
    <row r="118" spans="1:4" x14ac:dyDescent="0.25">
      <c r="A118">
        <v>2.5</v>
      </c>
      <c r="B118">
        <v>3.6</v>
      </c>
      <c r="C118">
        <v>0.57999999999999996</v>
      </c>
      <c r="D118">
        <v>3.02</v>
      </c>
    </row>
    <row r="119" spans="1:4" x14ac:dyDescent="0.25">
      <c r="A119">
        <v>3</v>
      </c>
      <c r="B119">
        <v>4.2300000000000004</v>
      </c>
      <c r="C119">
        <v>0.56000000000000005</v>
      </c>
      <c r="D119">
        <v>3.67</v>
      </c>
    </row>
    <row r="120" spans="1:4" x14ac:dyDescent="0.25">
      <c r="A120">
        <v>5</v>
      </c>
      <c r="B120">
        <v>6.48</v>
      </c>
      <c r="C120">
        <v>0.55000000000000004</v>
      </c>
      <c r="D120">
        <v>5.93</v>
      </c>
    </row>
    <row r="121" spans="1:4" x14ac:dyDescent="0.25">
      <c r="A121">
        <v>7</v>
      </c>
      <c r="B121">
        <v>9.81</v>
      </c>
      <c r="C121">
        <v>0.52</v>
      </c>
      <c r="D121">
        <v>9.2899999999999991</v>
      </c>
    </row>
    <row r="122" spans="1:4" x14ac:dyDescent="0.25">
      <c r="A122">
        <v>10</v>
      </c>
      <c r="B122">
        <v>13.18</v>
      </c>
      <c r="C122">
        <v>0.51</v>
      </c>
      <c r="D122">
        <v>12.67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0"/>
  <sheetViews>
    <sheetView topLeftCell="A10" workbookViewId="0">
      <selection activeCell="D25" sqref="D25"/>
    </sheetView>
  </sheetViews>
  <sheetFormatPr defaultColWidth="8.85546875" defaultRowHeight="15" x14ac:dyDescent="0.25"/>
  <cols>
    <col min="1" max="1" width="10.7109375" bestFit="1" customWidth="1"/>
  </cols>
  <sheetData>
    <row r="1" spans="1:16" x14ac:dyDescent="0.25">
      <c r="A1" t="s">
        <v>0</v>
      </c>
    </row>
    <row r="2" spans="1:16" x14ac:dyDescent="0.25">
      <c r="A2" s="12">
        <v>45978</v>
      </c>
    </row>
    <row r="4" spans="1:16" x14ac:dyDescent="0.25">
      <c r="A4" s="16" t="s">
        <v>2</v>
      </c>
      <c r="B4" s="16"/>
      <c r="C4" s="16"/>
      <c r="D4" s="16"/>
      <c r="E4" s="16"/>
      <c r="F4" s="16"/>
      <c r="G4" s="16"/>
      <c r="H4" s="16"/>
      <c r="I4" s="16"/>
      <c r="J4" s="16"/>
      <c r="K4" s="4"/>
      <c r="L4" s="4"/>
      <c r="M4" s="4"/>
      <c r="N4" s="4"/>
      <c r="O4" s="4"/>
      <c r="P4" s="4"/>
    </row>
    <row r="5" spans="1:16" x14ac:dyDescent="0.25">
      <c r="A5" t="s">
        <v>165</v>
      </c>
      <c r="E5" t="s">
        <v>20</v>
      </c>
      <c r="I5" t="s">
        <v>175</v>
      </c>
      <c r="M5" t="s">
        <v>181</v>
      </c>
    </row>
    <row r="6" spans="1:16" x14ac:dyDescent="0.25">
      <c r="A6" t="s">
        <v>166</v>
      </c>
      <c r="E6" t="s">
        <v>171</v>
      </c>
      <c r="I6" t="s">
        <v>176</v>
      </c>
      <c r="M6" t="s">
        <v>182</v>
      </c>
    </row>
    <row r="7" spans="1:16" x14ac:dyDescent="0.25">
      <c r="A7" t="s">
        <v>167</v>
      </c>
      <c r="E7" t="s">
        <v>172</v>
      </c>
      <c r="I7" t="s">
        <v>177</v>
      </c>
      <c r="M7" t="s">
        <v>183</v>
      </c>
    </row>
    <row r="8" spans="1:16" x14ac:dyDescent="0.25">
      <c r="A8" t="s">
        <v>168</v>
      </c>
      <c r="E8" t="s">
        <v>171</v>
      </c>
      <c r="I8" t="s">
        <v>178</v>
      </c>
      <c r="M8" t="s">
        <v>184</v>
      </c>
    </row>
    <row r="9" spans="1:16" x14ac:dyDescent="0.25">
      <c r="A9" t="s">
        <v>169</v>
      </c>
      <c r="E9" t="s">
        <v>173</v>
      </c>
      <c r="I9" t="s">
        <v>179</v>
      </c>
      <c r="M9" t="s">
        <v>185</v>
      </c>
    </row>
    <row r="10" spans="1:16" x14ac:dyDescent="0.25">
      <c r="A10" t="s">
        <v>170</v>
      </c>
      <c r="E10" t="s">
        <v>174</v>
      </c>
      <c r="I10" t="s">
        <v>180</v>
      </c>
      <c r="M10" t="s">
        <v>174</v>
      </c>
    </row>
    <row r="12" spans="1:16" x14ac:dyDescent="0.25">
      <c r="A12" s="1" t="s">
        <v>5</v>
      </c>
      <c r="B12" s="2">
        <f>AVERAGE(1.55,1.52,1.5)</f>
        <v>1.5233333333333334</v>
      </c>
      <c r="E12" s="1" t="s">
        <v>5</v>
      </c>
      <c r="F12" s="2">
        <f>AVERAGE(1.49,1.49,1.48)</f>
        <v>1.4866666666666666</v>
      </c>
      <c r="I12" s="1" t="s">
        <v>5</v>
      </c>
      <c r="J12" s="2">
        <f>AVERAGE(1.51,1.5,1.53)</f>
        <v>1.5133333333333334</v>
      </c>
      <c r="M12" s="1" t="s">
        <v>5</v>
      </c>
      <c r="N12" s="2">
        <f>AVERAGE(1.48,1.47,1.48)</f>
        <v>1.4766666666666666</v>
      </c>
    </row>
    <row r="13" spans="1:16" x14ac:dyDescent="0.25">
      <c r="A13" s="16" t="s">
        <v>3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4"/>
    </row>
    <row r="14" spans="1:16" x14ac:dyDescent="0.25">
      <c r="A14" s="15">
        <v>1.5</v>
      </c>
      <c r="B14" s="15"/>
      <c r="E14" s="15">
        <v>2</v>
      </c>
      <c r="F14" s="15"/>
      <c r="I14" s="15">
        <v>7</v>
      </c>
      <c r="J14" s="15"/>
      <c r="M14" s="15">
        <v>10</v>
      </c>
      <c r="N14" s="15"/>
    </row>
    <row r="15" spans="1:16" x14ac:dyDescent="0.25">
      <c r="A15" t="s">
        <v>186</v>
      </c>
      <c r="E15" t="s">
        <v>79</v>
      </c>
      <c r="I15" t="s">
        <v>196</v>
      </c>
      <c r="M15" t="s">
        <v>202</v>
      </c>
    </row>
    <row r="16" spans="1:16" x14ac:dyDescent="0.25">
      <c r="A16" t="s">
        <v>187</v>
      </c>
      <c r="E16" t="s">
        <v>191</v>
      </c>
      <c r="I16" t="s">
        <v>197</v>
      </c>
      <c r="M16" t="s">
        <v>203</v>
      </c>
    </row>
    <row r="17" spans="1:16" x14ac:dyDescent="0.25">
      <c r="A17" t="s">
        <v>188</v>
      </c>
      <c r="E17" t="s">
        <v>192</v>
      </c>
      <c r="I17" t="s">
        <v>198</v>
      </c>
      <c r="M17" t="s">
        <v>204</v>
      </c>
    </row>
    <row r="18" spans="1:16" x14ac:dyDescent="0.25">
      <c r="A18" t="s">
        <v>189</v>
      </c>
      <c r="E18" t="s">
        <v>193</v>
      </c>
      <c r="I18" t="s">
        <v>199</v>
      </c>
      <c r="M18" t="s">
        <v>205</v>
      </c>
    </row>
    <row r="19" spans="1:16" x14ac:dyDescent="0.25">
      <c r="A19" t="s">
        <v>20</v>
      </c>
      <c r="E19" t="s">
        <v>194</v>
      </c>
      <c r="I19" t="s">
        <v>200</v>
      </c>
      <c r="M19" t="s">
        <v>206</v>
      </c>
    </row>
    <row r="20" spans="1:16" x14ac:dyDescent="0.25">
      <c r="A20" t="s">
        <v>190</v>
      </c>
      <c r="E20" t="s">
        <v>195</v>
      </c>
      <c r="I20" t="s">
        <v>201</v>
      </c>
      <c r="M20" t="s">
        <v>207</v>
      </c>
    </row>
    <row r="21" spans="1:16" x14ac:dyDescent="0.25">
      <c r="A21" s="1" t="s">
        <v>5</v>
      </c>
      <c r="B21" s="2">
        <f>AVERAGE(2.71,2.69,2.68)</f>
        <v>2.6933333333333334</v>
      </c>
      <c r="E21" s="1" t="s">
        <v>5</v>
      </c>
      <c r="F21" s="2">
        <f>AVERAGE(3.51,3.5,3.53)</f>
        <v>3.5133333333333332</v>
      </c>
      <c r="I21" s="1" t="s">
        <v>5</v>
      </c>
      <c r="J21" s="2">
        <f>AVERAGE(9.8,9.86,9.76)</f>
        <v>9.8066666666666666</v>
      </c>
      <c r="M21" s="1" t="s">
        <v>5</v>
      </c>
      <c r="N21" s="2">
        <f>AVERAGE(13.17,13.1,13.26)</f>
        <v>13.176666666666668</v>
      </c>
    </row>
    <row r="22" spans="1:16" x14ac:dyDescent="0.25">
      <c r="A22" s="1" t="s">
        <v>28</v>
      </c>
      <c r="B22" s="3">
        <f>_xlfn.STDEV.S(0.013,0.013,0.011)</f>
        <v>1.1547005383792516E-3</v>
      </c>
      <c r="E22" s="1" t="s">
        <v>28</v>
      </c>
      <c r="F22" s="3">
        <v>0</v>
      </c>
      <c r="I22" s="1" t="s">
        <v>28</v>
      </c>
      <c r="J22" s="3">
        <f>_xlfn.STDEV.S(0.012,0.011,0.011)</f>
        <v>5.7735026918962623E-4</v>
      </c>
      <c r="M22" s="1" t="s">
        <v>28</v>
      </c>
      <c r="N22" s="3">
        <f>_xlfn.STDEV.S(0.013,0.012,0.013)</f>
        <v>5.7735026918962525E-4</v>
      </c>
    </row>
    <row r="23" spans="1:16" x14ac:dyDescent="0.25">
      <c r="A23" s="16" t="s">
        <v>4</v>
      </c>
      <c r="B23" s="16"/>
      <c r="C23" s="16"/>
      <c r="D23" s="16"/>
      <c r="E23" s="16"/>
      <c r="F23" s="16"/>
      <c r="G23" s="16"/>
      <c r="H23" s="16"/>
      <c r="I23" s="16"/>
      <c r="J23" s="16"/>
      <c r="K23" s="4"/>
      <c r="L23" s="4"/>
      <c r="M23" s="4"/>
      <c r="N23" s="4"/>
      <c r="O23" s="4"/>
      <c r="P23" s="4"/>
    </row>
    <row r="24" spans="1:16" x14ac:dyDescent="0.25">
      <c r="A24" s="15">
        <v>1.5</v>
      </c>
      <c r="B24" s="15"/>
      <c r="E24" s="15">
        <v>2</v>
      </c>
      <c r="F24" s="15"/>
      <c r="I24" s="15">
        <v>7</v>
      </c>
      <c r="J24" s="15"/>
      <c r="M24" s="15">
        <v>10</v>
      </c>
      <c r="N24" s="15"/>
    </row>
    <row r="25" spans="1:16" x14ac:dyDescent="0.25">
      <c r="A25" t="s">
        <v>208</v>
      </c>
      <c r="E25" t="s">
        <v>214</v>
      </c>
      <c r="I25" t="s">
        <v>220</v>
      </c>
      <c r="M25" t="s">
        <v>225</v>
      </c>
    </row>
    <row r="26" spans="1:16" x14ac:dyDescent="0.25">
      <c r="A26" t="s">
        <v>209</v>
      </c>
      <c r="E26" t="s">
        <v>215</v>
      </c>
      <c r="I26" t="s">
        <v>221</v>
      </c>
      <c r="M26" t="s">
        <v>226</v>
      </c>
    </row>
    <row r="27" spans="1:16" x14ac:dyDescent="0.25">
      <c r="A27" t="s">
        <v>210</v>
      </c>
      <c r="E27" t="s">
        <v>216</v>
      </c>
      <c r="I27" t="s">
        <v>222</v>
      </c>
    </row>
    <row r="28" spans="1:16" x14ac:dyDescent="0.25">
      <c r="A28" t="s">
        <v>211</v>
      </c>
      <c r="E28" t="s">
        <v>217</v>
      </c>
      <c r="I28" t="s">
        <v>223</v>
      </c>
    </row>
    <row r="29" spans="1:16" x14ac:dyDescent="0.25">
      <c r="A29" t="s">
        <v>212</v>
      </c>
      <c r="E29" t="s">
        <v>218</v>
      </c>
      <c r="I29" t="s">
        <v>224</v>
      </c>
    </row>
    <row r="30" spans="1:16" x14ac:dyDescent="0.25">
      <c r="A30" t="s">
        <v>213</v>
      </c>
      <c r="E30" t="s">
        <v>219</v>
      </c>
      <c r="I30" t="s">
        <v>76</v>
      </c>
    </row>
    <row r="31" spans="1:16" x14ac:dyDescent="0.25">
      <c r="A31" s="1" t="s">
        <v>5</v>
      </c>
      <c r="B31" s="2">
        <f>AVERAGE(0.49,0.47,0.47)</f>
        <v>0.47666666666666663</v>
      </c>
      <c r="E31" s="1" t="s">
        <v>5</v>
      </c>
      <c r="F31" s="2">
        <f>AVERAGE(0.53,0.54,0.54)</f>
        <v>0.53666666666666674</v>
      </c>
      <c r="I31" s="1" t="s">
        <v>5</v>
      </c>
      <c r="J31" s="2">
        <f>AVERAGE(0.5,0.53,0.52)</f>
        <v>0.51666666666666672</v>
      </c>
      <c r="M31" s="1" t="s">
        <v>5</v>
      </c>
      <c r="N31" s="2">
        <f>AVERAGE(0.52,0.5,0.51)</f>
        <v>0.51</v>
      </c>
    </row>
    <row r="32" spans="1:16" x14ac:dyDescent="0.25">
      <c r="A32" s="1" t="s">
        <v>28</v>
      </c>
      <c r="B32" s="3">
        <f>_xlfn.STDEV.S(0.014,0.012,0.012)</f>
        <v>1.1547005383792516E-3</v>
      </c>
      <c r="E32" s="1" t="s">
        <v>28</v>
      </c>
      <c r="F32" s="3">
        <f>_xlfn.STDEV.S(0.013,0.014,0.014)</f>
        <v>5.7735026918962623E-4</v>
      </c>
      <c r="I32" s="1" t="s">
        <v>28</v>
      </c>
      <c r="J32" s="3">
        <v>0</v>
      </c>
      <c r="M32" s="1" t="s">
        <v>28</v>
      </c>
      <c r="N32" s="3">
        <f>_xlfn.STDEV.S(0.013,0.013,0.012)</f>
        <v>5.7735026918962525E-4</v>
      </c>
    </row>
    <row r="33" spans="1:16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</row>
    <row r="34" spans="1:16" x14ac:dyDescent="0.25">
      <c r="B34" s="10">
        <f>B21-B31</f>
        <v>2.2166666666666668</v>
      </c>
      <c r="F34" s="10">
        <f>F21-F31</f>
        <v>2.9766666666666666</v>
      </c>
      <c r="J34" s="10">
        <f>J21-J31</f>
        <v>9.2899999999999991</v>
      </c>
      <c r="N34" s="10">
        <f>N21-N31</f>
        <v>12.666666666666668</v>
      </c>
    </row>
    <row r="37" spans="1:16" x14ac:dyDescent="0.25">
      <c r="E37">
        <f>2.69-0.57</f>
        <v>2.12</v>
      </c>
    </row>
    <row r="38" spans="1:16" x14ac:dyDescent="0.25">
      <c r="E38">
        <f>3.51-0.56</f>
        <v>2.9499999999999997</v>
      </c>
    </row>
    <row r="39" spans="1:16" x14ac:dyDescent="0.25">
      <c r="E39">
        <f>9.81-0.52</f>
        <v>9.2900000000000009</v>
      </c>
    </row>
    <row r="40" spans="1:16" x14ac:dyDescent="0.25">
      <c r="E40">
        <f>13.18-0.51</f>
        <v>12.67</v>
      </c>
    </row>
  </sheetData>
  <mergeCells count="11">
    <mergeCell ref="A4:J4"/>
    <mergeCell ref="A13:O13"/>
    <mergeCell ref="A14:B14"/>
    <mergeCell ref="E14:F14"/>
    <mergeCell ref="I14:J14"/>
    <mergeCell ref="M14:N14"/>
    <mergeCell ref="A23:J23"/>
    <mergeCell ref="A24:B24"/>
    <mergeCell ref="E24:F24"/>
    <mergeCell ref="I24:J24"/>
    <mergeCell ref="M24:N2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4"/>
  <sheetViews>
    <sheetView workbookViewId="0">
      <selection activeCell="L25" sqref="L25"/>
    </sheetView>
  </sheetViews>
  <sheetFormatPr defaultColWidth="8.85546875" defaultRowHeight="15" x14ac:dyDescent="0.25"/>
  <cols>
    <col min="1" max="1" width="10.7109375" bestFit="1" customWidth="1"/>
  </cols>
  <sheetData>
    <row r="1" spans="1:16" x14ac:dyDescent="0.25">
      <c r="A1" t="s">
        <v>0</v>
      </c>
    </row>
    <row r="2" spans="1:16" x14ac:dyDescent="0.25">
      <c r="A2" s="12">
        <v>45980</v>
      </c>
    </row>
    <row r="4" spans="1:16" x14ac:dyDescent="0.25">
      <c r="A4" s="16" t="s">
        <v>2</v>
      </c>
      <c r="B4" s="16"/>
      <c r="C4" s="16"/>
      <c r="D4" s="16"/>
      <c r="E4" s="16"/>
      <c r="F4" s="16"/>
      <c r="G4" s="16"/>
      <c r="H4" s="16"/>
      <c r="I4" s="16"/>
      <c r="J4" s="16"/>
      <c r="K4" s="4"/>
      <c r="L4" s="4"/>
      <c r="M4" s="4"/>
      <c r="N4" s="4"/>
      <c r="O4" s="4"/>
      <c r="P4" s="4"/>
    </row>
    <row r="5" spans="1:16" x14ac:dyDescent="0.25">
      <c r="A5" t="s">
        <v>230</v>
      </c>
      <c r="E5" t="s">
        <v>234</v>
      </c>
      <c r="I5" t="s">
        <v>239</v>
      </c>
    </row>
    <row r="6" spans="1:16" x14ac:dyDescent="0.25">
      <c r="A6" t="s">
        <v>231</v>
      </c>
      <c r="E6" t="s">
        <v>182</v>
      </c>
      <c r="I6" t="s">
        <v>184</v>
      </c>
    </row>
    <row r="7" spans="1:16" x14ac:dyDescent="0.25">
      <c r="A7" t="s">
        <v>232</v>
      </c>
      <c r="E7" t="s">
        <v>235</v>
      </c>
      <c r="I7" t="s">
        <v>240</v>
      </c>
    </row>
    <row r="8" spans="1:16" x14ac:dyDescent="0.25">
      <c r="A8" t="s">
        <v>174</v>
      </c>
      <c r="E8" t="s">
        <v>236</v>
      </c>
      <c r="I8" t="s">
        <v>241</v>
      </c>
    </row>
    <row r="9" spans="1:16" x14ac:dyDescent="0.25">
      <c r="A9" t="s">
        <v>233</v>
      </c>
      <c r="E9" t="s">
        <v>237</v>
      </c>
      <c r="I9" t="s">
        <v>242</v>
      </c>
    </row>
    <row r="10" spans="1:16" x14ac:dyDescent="0.25">
      <c r="A10" t="s">
        <v>171</v>
      </c>
      <c r="E10" t="s">
        <v>238</v>
      </c>
      <c r="I10" t="s">
        <v>243</v>
      </c>
    </row>
    <row r="12" spans="1:16" x14ac:dyDescent="0.25">
      <c r="A12" s="1" t="s">
        <v>5</v>
      </c>
      <c r="B12" s="2">
        <f>AVERAGE(1.49,1.48,1.49)</f>
        <v>1.4866666666666666</v>
      </c>
      <c r="E12" s="1" t="s">
        <v>5</v>
      </c>
      <c r="F12" s="2">
        <f>AVERAGE(1.48,1.5,1.48)</f>
        <v>1.4866666666666666</v>
      </c>
      <c r="I12" s="1" t="s">
        <v>5</v>
      </c>
      <c r="J12" s="2">
        <f>AVERAGE(1.47,1.45,1.47)</f>
        <v>1.4633333333333332</v>
      </c>
      <c r="M12" s="1"/>
      <c r="N12" s="2"/>
    </row>
    <row r="13" spans="1:16" x14ac:dyDescent="0.25">
      <c r="A13" s="16" t="s">
        <v>3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4"/>
    </row>
    <row r="14" spans="1:16" x14ac:dyDescent="0.25">
      <c r="A14" s="15">
        <v>0.02</v>
      </c>
      <c r="B14" s="15"/>
      <c r="E14" s="15">
        <v>0.05</v>
      </c>
      <c r="F14" s="15"/>
      <c r="I14" s="15">
        <v>7.0000000000000007E-2</v>
      </c>
      <c r="J14" s="15"/>
      <c r="M14" s="15"/>
      <c r="N14" s="15"/>
    </row>
    <row r="15" spans="1:16" x14ac:dyDescent="0.25">
      <c r="A15" t="s">
        <v>244</v>
      </c>
      <c r="E15" t="s">
        <v>250</v>
      </c>
      <c r="I15" t="s">
        <v>257</v>
      </c>
    </row>
    <row r="16" spans="1:16" x14ac:dyDescent="0.25">
      <c r="A16" t="s">
        <v>245</v>
      </c>
      <c r="E16" t="s">
        <v>251</v>
      </c>
      <c r="I16" t="s">
        <v>258</v>
      </c>
    </row>
    <row r="17" spans="1:16" x14ac:dyDescent="0.25">
      <c r="A17" t="s">
        <v>246</v>
      </c>
      <c r="E17" t="s">
        <v>252</v>
      </c>
      <c r="I17" t="s">
        <v>259</v>
      </c>
    </row>
    <row r="18" spans="1:16" x14ac:dyDescent="0.25">
      <c r="A18" t="s">
        <v>247</v>
      </c>
      <c r="E18" t="s">
        <v>253</v>
      </c>
      <c r="I18" t="s">
        <v>260</v>
      </c>
    </row>
    <row r="19" spans="1:16" x14ac:dyDescent="0.25">
      <c r="A19" t="s">
        <v>248</v>
      </c>
      <c r="E19" t="s">
        <v>6</v>
      </c>
      <c r="I19" t="s">
        <v>255</v>
      </c>
    </row>
    <row r="20" spans="1:16" x14ac:dyDescent="0.25">
      <c r="A20" t="s">
        <v>249</v>
      </c>
      <c r="E20" t="s">
        <v>254</v>
      </c>
      <c r="I20" t="s">
        <v>256</v>
      </c>
    </row>
    <row r="21" spans="1:16" x14ac:dyDescent="0.25">
      <c r="A21" s="1" t="s">
        <v>5</v>
      </c>
      <c r="B21" s="2">
        <f>AVERAGE(0.57,0.58,0.56)</f>
        <v>0.56999999999999995</v>
      </c>
      <c r="E21" s="1" t="s">
        <v>5</v>
      </c>
      <c r="F21" s="2">
        <f>AVERAGE(0.62,0.61,0.62)</f>
        <v>0.6166666666666667</v>
      </c>
      <c r="I21" s="1" t="s">
        <v>5</v>
      </c>
      <c r="J21" s="2">
        <f>AVERAGE(0.68,0.68,0.69)</f>
        <v>0.68333333333333324</v>
      </c>
      <c r="M21" s="1"/>
      <c r="N21" s="2"/>
    </row>
    <row r="22" spans="1:16" x14ac:dyDescent="0.25">
      <c r="A22" s="1" t="s">
        <v>28</v>
      </c>
      <c r="B22" s="3">
        <f>_xlfn.STDEV.S(0.013,0.012,0.012)</f>
        <v>5.7735026918962525E-4</v>
      </c>
      <c r="E22" s="1" t="s">
        <v>28</v>
      </c>
      <c r="F22" s="3">
        <f>_xlfn.STDEV.S(0.013,0.014,0.017)</f>
        <v>2.0816659994661335E-3</v>
      </c>
      <c r="I22" s="1" t="s">
        <v>28</v>
      </c>
      <c r="J22" s="3">
        <f>_xlfn.STDEV.S(0.012,0.013,0.013)</f>
        <v>5.7735026918962525E-4</v>
      </c>
      <c r="M22" s="1"/>
      <c r="N22" s="3"/>
    </row>
    <row r="23" spans="1:16" x14ac:dyDescent="0.25">
      <c r="A23" s="16" t="s">
        <v>4</v>
      </c>
      <c r="B23" s="16"/>
      <c r="C23" s="16"/>
      <c r="D23" s="16"/>
      <c r="E23" s="16"/>
      <c r="F23" s="16"/>
      <c r="G23" s="16"/>
      <c r="H23" s="16"/>
      <c r="I23" s="16"/>
      <c r="J23" s="16"/>
      <c r="K23" s="4"/>
      <c r="L23" s="4"/>
      <c r="M23" s="4"/>
      <c r="N23" s="4"/>
      <c r="O23" s="4"/>
      <c r="P23" s="4"/>
    </row>
    <row r="24" spans="1:16" x14ac:dyDescent="0.25">
      <c r="A24" s="15">
        <v>0.02</v>
      </c>
      <c r="B24" s="15"/>
      <c r="E24" s="15">
        <v>0.05</v>
      </c>
      <c r="F24" s="15"/>
      <c r="I24" s="15">
        <v>7.0000000000000007E-2</v>
      </c>
      <c r="J24" s="15"/>
      <c r="M24" s="15"/>
      <c r="N24" s="15"/>
    </row>
    <row r="25" spans="1:16" x14ac:dyDescent="0.25">
      <c r="A25" t="s">
        <v>261</v>
      </c>
      <c r="E25" t="s">
        <v>266</v>
      </c>
      <c r="I25" t="s">
        <v>271</v>
      </c>
    </row>
    <row r="26" spans="1:16" x14ac:dyDescent="0.25">
      <c r="A26" t="s">
        <v>262</v>
      </c>
      <c r="E26" t="s">
        <v>264</v>
      </c>
      <c r="I26" t="s">
        <v>270</v>
      </c>
    </row>
    <row r="27" spans="1:16" x14ac:dyDescent="0.25">
      <c r="A27" t="s">
        <v>263</v>
      </c>
      <c r="E27" t="s">
        <v>267</v>
      </c>
      <c r="I27" t="s">
        <v>272</v>
      </c>
    </row>
    <row r="28" spans="1:16" x14ac:dyDescent="0.25">
      <c r="A28" t="s">
        <v>264</v>
      </c>
      <c r="E28" t="s">
        <v>268</v>
      </c>
      <c r="I28" t="s">
        <v>273</v>
      </c>
    </row>
    <row r="29" spans="1:16" x14ac:dyDescent="0.25">
      <c r="A29" t="s">
        <v>265</v>
      </c>
      <c r="E29" t="s">
        <v>269</v>
      </c>
      <c r="I29" t="s">
        <v>274</v>
      </c>
    </row>
    <row r="30" spans="1:16" x14ac:dyDescent="0.25">
      <c r="A30" t="s">
        <v>264</v>
      </c>
      <c r="E30" t="s">
        <v>270</v>
      </c>
      <c r="I30" t="s">
        <v>273</v>
      </c>
    </row>
    <row r="31" spans="1:16" x14ac:dyDescent="0.25">
      <c r="A31" s="1" t="s">
        <v>5</v>
      </c>
      <c r="B31" s="2">
        <f>AVERAGE(0.48,0.47,0.47)</f>
        <v>0.47333333333333333</v>
      </c>
      <c r="E31" s="1" t="s">
        <v>5</v>
      </c>
      <c r="F31" s="2">
        <f>AVERAGE(0.47,0.46,0.45)</f>
        <v>0.45999999999999996</v>
      </c>
      <c r="I31" s="1" t="s">
        <v>5</v>
      </c>
      <c r="J31" s="2">
        <f>AVERAGE(0.45,0.47,0.47)</f>
        <v>0.46333333333333332</v>
      </c>
      <c r="M31" s="1"/>
      <c r="N31" s="2"/>
    </row>
    <row r="32" spans="1:16" x14ac:dyDescent="0.25">
      <c r="A32" s="1" t="s">
        <v>28</v>
      </c>
      <c r="B32" s="3">
        <f>_xlfn.STDEV.S(0.014,0.012,0.012)</f>
        <v>1.1547005383792516E-3</v>
      </c>
      <c r="E32" s="1" t="s">
        <v>28</v>
      </c>
      <c r="F32" s="3">
        <f>_xlfn.STDEV.S(0.013,0.014,0.014)</f>
        <v>5.7735026918962623E-4</v>
      </c>
      <c r="I32" s="1" t="s">
        <v>28</v>
      </c>
      <c r="J32" s="3">
        <v>0</v>
      </c>
      <c r="M32" s="1"/>
      <c r="N32" s="3"/>
    </row>
    <row r="33" spans="1:16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</row>
    <row r="34" spans="1:16" x14ac:dyDescent="0.25">
      <c r="B34" s="10">
        <f>B21-B31</f>
        <v>9.6666666666666623E-2</v>
      </c>
      <c r="F34" s="10">
        <f>F21-F31</f>
        <v>0.15666666666666673</v>
      </c>
      <c r="J34" s="10">
        <f>J21-J31</f>
        <v>0.21999999999999992</v>
      </c>
      <c r="N34" s="10">
        <f>N21-N31</f>
        <v>0</v>
      </c>
    </row>
  </sheetData>
  <mergeCells count="11">
    <mergeCell ref="A4:J4"/>
    <mergeCell ref="A13:O13"/>
    <mergeCell ref="A14:B14"/>
    <mergeCell ref="E14:F14"/>
    <mergeCell ref="I14:J14"/>
    <mergeCell ref="M14:N14"/>
    <mergeCell ref="A23:J23"/>
    <mergeCell ref="A24:B24"/>
    <mergeCell ref="E24:F24"/>
    <mergeCell ref="I24:J24"/>
    <mergeCell ref="M24:N2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4"/>
  <sheetViews>
    <sheetView topLeftCell="A7" workbookViewId="0">
      <selection activeCell="N32" sqref="N32"/>
    </sheetView>
  </sheetViews>
  <sheetFormatPr defaultColWidth="8.85546875" defaultRowHeight="15" x14ac:dyDescent="0.25"/>
  <cols>
    <col min="1" max="1" width="10.7109375" bestFit="1" customWidth="1"/>
  </cols>
  <sheetData>
    <row r="1" spans="1:16" x14ac:dyDescent="0.25">
      <c r="A1" t="s">
        <v>0</v>
      </c>
    </row>
    <row r="2" spans="1:16" x14ac:dyDescent="0.25">
      <c r="A2" s="12">
        <v>45994</v>
      </c>
    </row>
    <row r="4" spans="1:16" x14ac:dyDescent="0.25">
      <c r="A4" s="16" t="s">
        <v>2</v>
      </c>
      <c r="B4" s="16"/>
      <c r="C4" s="16"/>
      <c r="D4" s="16"/>
      <c r="E4" s="16"/>
      <c r="F4" s="16"/>
      <c r="G4" s="16"/>
      <c r="H4" s="16"/>
      <c r="I4" s="16"/>
      <c r="J4" s="16"/>
      <c r="K4" s="4"/>
      <c r="L4" s="4"/>
      <c r="M4" s="4"/>
      <c r="N4" s="4"/>
      <c r="O4" s="4"/>
      <c r="P4" s="4"/>
    </row>
    <row r="5" spans="1:16" x14ac:dyDescent="0.25">
      <c r="E5" t="s">
        <v>275</v>
      </c>
      <c r="I5" t="s">
        <v>212</v>
      </c>
    </row>
    <row r="6" spans="1:16" x14ac:dyDescent="0.25">
      <c r="E6" t="s">
        <v>241</v>
      </c>
      <c r="I6" t="s">
        <v>109</v>
      </c>
    </row>
    <row r="7" spans="1:16" x14ac:dyDescent="0.25">
      <c r="E7" t="s">
        <v>276</v>
      </c>
      <c r="I7" t="s">
        <v>278</v>
      </c>
    </row>
    <row r="8" spans="1:16" x14ac:dyDescent="0.25">
      <c r="E8" t="s">
        <v>241</v>
      </c>
      <c r="I8" t="s">
        <v>111</v>
      </c>
    </row>
    <row r="9" spans="1:16" x14ac:dyDescent="0.25">
      <c r="E9" t="s">
        <v>277</v>
      </c>
      <c r="I9" t="s">
        <v>279</v>
      </c>
    </row>
    <row r="10" spans="1:16" x14ac:dyDescent="0.25">
      <c r="E10" t="s">
        <v>104</v>
      </c>
      <c r="I10" t="s">
        <v>104</v>
      </c>
    </row>
    <row r="12" spans="1:16" x14ac:dyDescent="0.25">
      <c r="A12" s="1"/>
      <c r="B12" s="2"/>
      <c r="E12" s="1" t="s">
        <v>5</v>
      </c>
      <c r="F12" s="2">
        <f>AVERAGE(1.45,1.45,1.44)</f>
        <v>1.4466666666666665</v>
      </c>
      <c r="I12" s="1"/>
      <c r="J12" s="2">
        <f>AVERAGE(1.43,1.44,1.44)</f>
        <v>1.4366666666666668</v>
      </c>
      <c r="M12" s="1"/>
      <c r="N12" s="2"/>
    </row>
    <row r="13" spans="1:16" x14ac:dyDescent="0.25">
      <c r="A13" s="16" t="s">
        <v>3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4"/>
    </row>
    <row r="14" spans="1:16" x14ac:dyDescent="0.25">
      <c r="A14" s="15">
        <v>0.02</v>
      </c>
      <c r="B14" s="15"/>
      <c r="E14" s="15">
        <v>0.05</v>
      </c>
      <c r="F14" s="15"/>
      <c r="I14" s="15">
        <v>7.0000000000000007E-2</v>
      </c>
      <c r="J14" s="15"/>
      <c r="M14" s="15">
        <v>0.09</v>
      </c>
      <c r="N14" s="15"/>
    </row>
    <row r="15" spans="1:16" x14ac:dyDescent="0.25">
      <c r="A15" t="s">
        <v>280</v>
      </c>
      <c r="E15" t="s">
        <v>286</v>
      </c>
      <c r="I15" t="s">
        <v>292</v>
      </c>
      <c r="M15" t="s">
        <v>297</v>
      </c>
    </row>
    <row r="16" spans="1:16" x14ac:dyDescent="0.25">
      <c r="A16" t="s">
        <v>281</v>
      </c>
      <c r="E16" t="s">
        <v>287</v>
      </c>
      <c r="I16" t="s">
        <v>293</v>
      </c>
      <c r="M16" t="s">
        <v>298</v>
      </c>
    </row>
    <row r="17" spans="1:16" x14ac:dyDescent="0.25">
      <c r="A17" t="s">
        <v>282</v>
      </c>
      <c r="E17" t="s">
        <v>288</v>
      </c>
      <c r="I17" t="s">
        <v>294</v>
      </c>
      <c r="M17" t="s">
        <v>299</v>
      </c>
    </row>
    <row r="18" spans="1:16" x14ac:dyDescent="0.25">
      <c r="A18" t="s">
        <v>283</v>
      </c>
      <c r="E18" t="s">
        <v>289</v>
      </c>
      <c r="I18" t="s">
        <v>295</v>
      </c>
      <c r="M18" t="s">
        <v>300</v>
      </c>
    </row>
    <row r="19" spans="1:16" x14ac:dyDescent="0.25">
      <c r="A19" t="s">
        <v>284</v>
      </c>
      <c r="E19" t="s">
        <v>290</v>
      </c>
      <c r="I19" t="s">
        <v>296</v>
      </c>
      <c r="M19" t="s">
        <v>301</v>
      </c>
    </row>
    <row r="20" spans="1:16" x14ac:dyDescent="0.25">
      <c r="A20" t="s">
        <v>285</v>
      </c>
      <c r="E20" t="s">
        <v>291</v>
      </c>
      <c r="I20" t="s">
        <v>293</v>
      </c>
      <c r="M20" t="s">
        <v>302</v>
      </c>
    </row>
    <row r="21" spans="1:16" x14ac:dyDescent="0.25">
      <c r="A21" s="1" t="s">
        <v>5</v>
      </c>
      <c r="B21" s="2">
        <f>AVERAGE(0.71,0.72,0.72)</f>
        <v>0.71666666666666667</v>
      </c>
      <c r="E21" s="1" t="s">
        <v>5</v>
      </c>
      <c r="F21" s="2">
        <f>AVERAGE(0.79,0.81,0.79)</f>
        <v>0.79666666666666675</v>
      </c>
      <c r="I21" s="1" t="s">
        <v>5</v>
      </c>
      <c r="J21" s="2">
        <f>AVERAGE(0.82,0.83,0.82)</f>
        <v>0.82333333333333325</v>
      </c>
      <c r="M21" s="1"/>
      <c r="N21" s="2">
        <f>AVERAGE(0.88,0.87,0.88)</f>
        <v>0.87666666666666659</v>
      </c>
    </row>
    <row r="22" spans="1:16" x14ac:dyDescent="0.25">
      <c r="A22" s="1" t="s">
        <v>28</v>
      </c>
      <c r="B22" s="3">
        <f>_xlfn.STDEV.S(0.013,0.012,0.012)</f>
        <v>5.7735026918962525E-4</v>
      </c>
      <c r="E22" s="1" t="s">
        <v>28</v>
      </c>
      <c r="F22" s="3">
        <f>_xlfn.STDEV.S(0.016,0.017,0.018)</f>
        <v>9.9999999999999915E-4</v>
      </c>
      <c r="I22" s="1" t="s">
        <v>28</v>
      </c>
      <c r="J22" s="3">
        <v>0</v>
      </c>
      <c r="M22" s="1"/>
      <c r="N22" s="3"/>
    </row>
    <row r="23" spans="1:16" x14ac:dyDescent="0.25">
      <c r="A23" s="16" t="s">
        <v>4</v>
      </c>
      <c r="B23" s="16"/>
      <c r="C23" s="16"/>
      <c r="D23" s="16"/>
      <c r="E23" s="16"/>
      <c r="F23" s="16"/>
      <c r="G23" s="16"/>
      <c r="H23" s="16"/>
      <c r="I23" s="16"/>
      <c r="J23" s="16"/>
      <c r="K23" s="4"/>
      <c r="L23" s="4"/>
      <c r="M23" s="4"/>
      <c r="N23" s="4"/>
      <c r="O23" s="4"/>
      <c r="P23" s="4"/>
    </row>
    <row r="24" spans="1:16" x14ac:dyDescent="0.25">
      <c r="A24" s="15">
        <v>0.02</v>
      </c>
      <c r="B24" s="15"/>
      <c r="E24" s="15">
        <v>0.05</v>
      </c>
      <c r="F24" s="15"/>
      <c r="I24" s="15">
        <v>7.0000000000000007E-2</v>
      </c>
      <c r="J24" s="15"/>
      <c r="M24" s="15">
        <v>0.09</v>
      </c>
      <c r="N24" s="15"/>
    </row>
    <row r="25" spans="1:16" x14ac:dyDescent="0.25">
      <c r="A25" t="s">
        <v>303</v>
      </c>
      <c r="E25" t="s">
        <v>309</v>
      </c>
      <c r="I25" t="s">
        <v>315</v>
      </c>
      <c r="M25" t="s">
        <v>320</v>
      </c>
    </row>
    <row r="26" spans="1:16" x14ac:dyDescent="0.25">
      <c r="A26" t="s">
        <v>304</v>
      </c>
      <c r="E26" t="s">
        <v>310</v>
      </c>
      <c r="I26" t="s">
        <v>316</v>
      </c>
      <c r="M26" t="s">
        <v>321</v>
      </c>
    </row>
    <row r="27" spans="1:16" x14ac:dyDescent="0.25">
      <c r="A27" t="s">
        <v>305</v>
      </c>
      <c r="E27" t="s">
        <v>311</v>
      </c>
      <c r="I27" t="s">
        <v>317</v>
      </c>
      <c r="M27" t="s">
        <v>294</v>
      </c>
    </row>
    <row r="28" spans="1:16" x14ac:dyDescent="0.25">
      <c r="A28" t="s">
        <v>306</v>
      </c>
      <c r="E28" t="s">
        <v>312</v>
      </c>
      <c r="I28" t="s">
        <v>318</v>
      </c>
      <c r="M28" t="s">
        <v>322</v>
      </c>
    </row>
    <row r="29" spans="1:16" x14ac:dyDescent="0.25">
      <c r="A29" t="s">
        <v>307</v>
      </c>
      <c r="E29" t="s">
        <v>313</v>
      </c>
      <c r="I29" t="s">
        <v>319</v>
      </c>
      <c r="M29" t="s">
        <v>218</v>
      </c>
    </row>
    <row r="30" spans="1:16" x14ac:dyDescent="0.25">
      <c r="A30" t="s">
        <v>308</v>
      </c>
      <c r="E30" t="s">
        <v>314</v>
      </c>
      <c r="I30" t="s">
        <v>258</v>
      </c>
      <c r="M30" t="s">
        <v>322</v>
      </c>
    </row>
    <row r="31" spans="1:16" x14ac:dyDescent="0.25">
      <c r="A31" s="1" t="s">
        <v>5</v>
      </c>
      <c r="B31" s="2">
        <f>AVERAGE(0.67,0.66,0.67)</f>
        <v>0.66666666666666663</v>
      </c>
      <c r="E31" s="1" t="s">
        <v>5</v>
      </c>
      <c r="F31" s="2">
        <f>AVERAGE(0.65,0.63,0.65)</f>
        <v>0.64333333333333342</v>
      </c>
      <c r="I31" s="1" t="s">
        <v>5</v>
      </c>
      <c r="J31" s="2">
        <f>AVERAGE(0.69,0.68,0.68)</f>
        <v>0.68333333333333346</v>
      </c>
      <c r="M31" s="1" t="s">
        <v>5</v>
      </c>
      <c r="N31" s="2">
        <f>AVERAGE(0.54,0.55,0.55)</f>
        <v>0.54666666666666675</v>
      </c>
    </row>
    <row r="32" spans="1:16" x14ac:dyDescent="0.25">
      <c r="A32" s="1" t="s">
        <v>28</v>
      </c>
      <c r="B32" s="3">
        <f>_xlfn.STDEV.S(0.014,0.012,0.012)</f>
        <v>1.1547005383792516E-3</v>
      </c>
      <c r="E32" s="1" t="s">
        <v>28</v>
      </c>
      <c r="F32" s="3">
        <f>_xlfn.STDEV.S(0.013,0.014,0.014)</f>
        <v>5.7735026918962623E-4</v>
      </c>
      <c r="I32" s="1" t="s">
        <v>28</v>
      </c>
      <c r="J32" s="3">
        <v>0</v>
      </c>
      <c r="M32" s="1" t="s">
        <v>28</v>
      </c>
      <c r="N32" s="3">
        <v>0</v>
      </c>
    </row>
    <row r="33" spans="1:16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</row>
    <row r="34" spans="1:16" x14ac:dyDescent="0.25">
      <c r="B34" s="10">
        <f>B21-B31</f>
        <v>5.0000000000000044E-2</v>
      </c>
      <c r="F34" s="10">
        <f>F21-F31</f>
        <v>0.15333333333333332</v>
      </c>
      <c r="J34" s="10">
        <f>J21-J31</f>
        <v>0.13999999999999979</v>
      </c>
      <c r="N34" s="10">
        <f>N21-N31</f>
        <v>0.32999999999999985</v>
      </c>
    </row>
  </sheetData>
  <mergeCells count="11">
    <mergeCell ref="A4:J4"/>
    <mergeCell ref="A13:O13"/>
    <mergeCell ref="A14:B14"/>
    <mergeCell ref="E14:F14"/>
    <mergeCell ref="I14:J14"/>
    <mergeCell ref="M14:N14"/>
    <mergeCell ref="A23:J23"/>
    <mergeCell ref="A24:B24"/>
    <mergeCell ref="E24:F24"/>
    <mergeCell ref="I24:J24"/>
    <mergeCell ref="M24:N2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7"/>
  <sheetViews>
    <sheetView tabSelected="1" topLeftCell="A4" workbookViewId="0">
      <selection activeCell="A13" sqref="A13:O13"/>
    </sheetView>
  </sheetViews>
  <sheetFormatPr defaultColWidth="8.85546875" defaultRowHeight="15" x14ac:dyDescent="0.25"/>
  <cols>
    <col min="1" max="1" width="9.7109375" bestFit="1" customWidth="1"/>
    <col min="10" max="10" width="10.7109375" customWidth="1"/>
  </cols>
  <sheetData>
    <row r="1" spans="1:31" x14ac:dyDescent="0.25">
      <c r="A1" s="7" t="s">
        <v>0</v>
      </c>
    </row>
    <row r="3" spans="1:31" x14ac:dyDescent="0.25">
      <c r="A3" s="6">
        <v>45995</v>
      </c>
      <c r="B3" s="5"/>
      <c r="D3" s="5"/>
      <c r="E3" s="5"/>
      <c r="F3" s="5"/>
      <c r="G3" s="5"/>
      <c r="H3" s="5"/>
      <c r="I3" s="5"/>
      <c r="J3" s="6"/>
      <c r="K3" s="5"/>
      <c r="L3" s="5"/>
      <c r="M3" s="5"/>
      <c r="N3" s="5"/>
      <c r="O3" s="5"/>
      <c r="P3" s="5"/>
      <c r="Q3" s="5"/>
      <c r="R3" s="5"/>
      <c r="S3" s="5"/>
      <c r="U3" s="19" t="s">
        <v>138</v>
      </c>
      <c r="V3" s="20"/>
      <c r="W3" s="20"/>
      <c r="X3" s="20"/>
      <c r="Y3" s="20"/>
      <c r="Z3" s="20"/>
      <c r="AA3" s="20"/>
      <c r="AB3" s="20"/>
      <c r="AC3" s="20"/>
      <c r="AD3" s="20"/>
      <c r="AE3" s="20"/>
    </row>
    <row r="4" spans="1:31" s="4" customFormat="1" x14ac:dyDescent="0.25">
      <c r="A4" s="16" t="s">
        <v>2</v>
      </c>
      <c r="B4" s="16"/>
      <c r="C4" s="16"/>
      <c r="D4" s="16"/>
      <c r="E4" s="16"/>
      <c r="F4" s="16"/>
      <c r="G4" s="16"/>
      <c r="H4" s="16"/>
      <c r="I4" s="16"/>
      <c r="J4" s="16"/>
      <c r="Z4" s="4" t="s">
        <v>100</v>
      </c>
    </row>
    <row r="5" spans="1:31" x14ac:dyDescent="0.25">
      <c r="A5" t="s">
        <v>323</v>
      </c>
      <c r="E5" t="s">
        <v>337</v>
      </c>
    </row>
    <row r="6" spans="1:31" x14ac:dyDescent="0.25">
      <c r="A6" t="s">
        <v>324</v>
      </c>
      <c r="E6" t="s">
        <v>58</v>
      </c>
    </row>
    <row r="7" spans="1:31" x14ac:dyDescent="0.25">
      <c r="A7" t="s">
        <v>297</v>
      </c>
      <c r="E7" t="s">
        <v>338</v>
      </c>
    </row>
    <row r="8" spans="1:31" x14ac:dyDescent="0.25">
      <c r="A8" t="s">
        <v>324</v>
      </c>
      <c r="E8" t="s">
        <v>58</v>
      </c>
    </row>
    <row r="9" spans="1:31" x14ac:dyDescent="0.25">
      <c r="A9" t="s">
        <v>325</v>
      </c>
    </row>
    <row r="10" spans="1:31" x14ac:dyDescent="0.25">
      <c r="A10" t="s">
        <v>326</v>
      </c>
    </row>
    <row r="12" spans="1:31" x14ac:dyDescent="0.25">
      <c r="A12" s="1" t="s">
        <v>5</v>
      </c>
      <c r="B12" s="2">
        <f>AVERAGE(1.45,1.45,1.46)</f>
        <v>1.4533333333333331</v>
      </c>
      <c r="E12" s="1" t="s">
        <v>5</v>
      </c>
      <c r="F12" s="2">
        <v>1.48</v>
      </c>
      <c r="I12" s="1" t="s">
        <v>5</v>
      </c>
      <c r="J12" s="2">
        <f>AVERAGE(1.62,1.63,1.62)</f>
        <v>1.6233333333333333</v>
      </c>
      <c r="M12" s="1" t="s">
        <v>5</v>
      </c>
      <c r="N12" s="2">
        <f>AVERAGE(1.47,1.48,1.47)</f>
        <v>1.4733333333333334</v>
      </c>
      <c r="Q12" s="1" t="s">
        <v>5</v>
      </c>
      <c r="R12" s="2">
        <f>AVERAGE(1.48,1.48,1.49)</f>
        <v>1.4833333333333334</v>
      </c>
      <c r="U12" s="1" t="s">
        <v>5</v>
      </c>
      <c r="V12" s="2">
        <f>AVERAGE(1.44,1.44,1.42)</f>
        <v>1.4333333333333333</v>
      </c>
      <c r="Y12" s="1" t="s">
        <v>5</v>
      </c>
      <c r="Z12" s="2">
        <f>AVERAGE(1.43,1.44,1.43)</f>
        <v>1.4333333333333333</v>
      </c>
      <c r="AC12" s="1" t="s">
        <v>5</v>
      </c>
      <c r="AD12" s="2">
        <f>AVERAGE(1.44,1.44,1.43)</f>
        <v>1.4366666666666665</v>
      </c>
    </row>
    <row r="13" spans="1:31" s="4" customFormat="1" x14ac:dyDescent="0.25">
      <c r="A13" s="16" t="s">
        <v>3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T13" s="4" t="s">
        <v>101</v>
      </c>
      <c r="AD13" s="4" t="s">
        <v>119</v>
      </c>
    </row>
    <row r="14" spans="1:31" x14ac:dyDescent="0.25">
      <c r="A14" s="15">
        <v>0.1</v>
      </c>
      <c r="B14" s="15"/>
      <c r="E14" s="15">
        <v>0.15</v>
      </c>
      <c r="F14" s="15"/>
      <c r="I14" s="15">
        <v>0.25</v>
      </c>
      <c r="J14" s="15"/>
      <c r="M14" s="15">
        <v>0.5</v>
      </c>
      <c r="N14" s="15"/>
      <c r="Q14" s="15">
        <v>1</v>
      </c>
      <c r="R14" s="15"/>
      <c r="U14" s="15">
        <v>2.5</v>
      </c>
      <c r="V14" s="15"/>
      <c r="Y14" s="15">
        <v>3</v>
      </c>
      <c r="Z14" s="15"/>
      <c r="AC14" s="15">
        <v>5</v>
      </c>
      <c r="AD14" s="15"/>
    </row>
    <row r="15" spans="1:31" x14ac:dyDescent="0.25">
      <c r="A15" t="s">
        <v>327</v>
      </c>
    </row>
    <row r="16" spans="1:31" x14ac:dyDescent="0.25">
      <c r="A16" t="s">
        <v>328</v>
      </c>
    </row>
    <row r="17" spans="1:30" x14ac:dyDescent="0.25">
      <c r="A17" t="s">
        <v>329</v>
      </c>
    </row>
    <row r="18" spans="1:30" x14ac:dyDescent="0.25">
      <c r="A18" t="s">
        <v>330</v>
      </c>
    </row>
    <row r="19" spans="1:30" x14ac:dyDescent="0.25">
      <c r="A19" t="s">
        <v>331</v>
      </c>
    </row>
    <row r="20" spans="1:30" x14ac:dyDescent="0.25">
      <c r="A20" t="s">
        <v>328</v>
      </c>
    </row>
    <row r="21" spans="1:30" x14ac:dyDescent="0.25">
      <c r="A21" s="1" t="s">
        <v>5</v>
      </c>
      <c r="B21" s="2">
        <f>AVERAGE(0.9,0.9,0.9)</f>
        <v>0.9</v>
      </c>
      <c r="E21" s="1" t="s">
        <v>5</v>
      </c>
      <c r="F21" s="2">
        <f>AVERAGE(0.88,0.88,0.86)</f>
        <v>0.87333333333333341</v>
      </c>
      <c r="I21" s="1" t="s">
        <v>5</v>
      </c>
      <c r="J21" s="2">
        <f>AVERAGE(0.98,0.95,0.94)</f>
        <v>0.95666666666666667</v>
      </c>
      <c r="M21" s="1" t="s">
        <v>5</v>
      </c>
      <c r="N21" s="2">
        <f>AVERAGE(1.29,1.28,1.3)</f>
        <v>1.29</v>
      </c>
      <c r="Q21" s="1" t="s">
        <v>5</v>
      </c>
      <c r="R21" s="2">
        <f>AVERAGE(2.02,2.01,2.01)</f>
        <v>2.0133333333333332</v>
      </c>
      <c r="U21" s="1" t="s">
        <v>5</v>
      </c>
      <c r="V21" s="2">
        <f>AVERAGE(3.55,3.63,3.61)</f>
        <v>3.5966666666666662</v>
      </c>
      <c r="Y21" s="1" t="s">
        <v>5</v>
      </c>
      <c r="Z21" s="2">
        <f>AVERAGE(4.28,4.21,4.21)</f>
        <v>4.2333333333333334</v>
      </c>
      <c r="AC21" s="1" t="s">
        <v>5</v>
      </c>
      <c r="AD21" s="2">
        <f>AVERAGE(6.45,6.45,6.55)</f>
        <v>6.4833333333333334</v>
      </c>
    </row>
    <row r="22" spans="1:30" x14ac:dyDescent="0.25">
      <c r="A22" s="1" t="s">
        <v>28</v>
      </c>
      <c r="B22" s="3">
        <f>_xlfn.STDEV.S(0.016,0.017,0.016)</f>
        <v>5.7735026918962623E-4</v>
      </c>
      <c r="E22" s="1" t="s">
        <v>28</v>
      </c>
      <c r="F22" s="3">
        <f>_xlfn.STDEV.S(0.013,0.011,0.011)</f>
        <v>1.1547005383792516E-3</v>
      </c>
      <c r="I22" s="1" t="s">
        <v>28</v>
      </c>
      <c r="J22" s="3">
        <f>_xlfn.STDEV.S(0.013,0.011,0.011)</f>
        <v>1.1547005383792516E-3</v>
      </c>
      <c r="M22" s="1" t="s">
        <v>28</v>
      </c>
      <c r="N22" s="3">
        <f>_xlfn.STDEV.S(0.015,0.012,0.011)</f>
        <v>2.0816659994661326E-3</v>
      </c>
      <c r="Q22" s="1" t="s">
        <v>28</v>
      </c>
      <c r="R22" s="3">
        <f>_xlfn.STDEV.S(0.015,0.01,0.011)</f>
        <v>2.6457513110645903E-3</v>
      </c>
      <c r="U22" s="1" t="s">
        <v>28</v>
      </c>
      <c r="V22" s="3">
        <f>_xlfn.STDEV.S(0.012,0.011,0.011)</f>
        <v>5.7735026918962623E-4</v>
      </c>
      <c r="Y22" s="1" t="s">
        <v>28</v>
      </c>
      <c r="Z22" s="3">
        <f>_xlfn.STDEV.S(0.012,0.012,0.013)</f>
        <v>5.7735026918962525E-4</v>
      </c>
      <c r="AC22" s="1" t="s">
        <v>28</v>
      </c>
      <c r="AD22" s="3">
        <f>_xlfn.STDEV.S(0.014,0.012,0.011)</f>
        <v>1.527525231651947E-3</v>
      </c>
    </row>
    <row r="23" spans="1:30" s="4" customFormat="1" x14ac:dyDescent="0.25">
      <c r="A23" s="25" t="s">
        <v>4</v>
      </c>
      <c r="B23" s="25"/>
      <c r="C23" s="25"/>
      <c r="D23" s="25"/>
      <c r="E23" s="25"/>
      <c r="F23" s="25"/>
      <c r="G23" s="25"/>
      <c r="H23" s="25"/>
      <c r="I23" s="25"/>
      <c r="J23" s="25"/>
      <c r="T23" s="4" t="s">
        <v>102</v>
      </c>
    </row>
    <row r="24" spans="1:30" x14ac:dyDescent="0.25">
      <c r="A24" s="15">
        <v>0.1</v>
      </c>
      <c r="B24" s="15"/>
      <c r="E24" s="15">
        <v>0.15</v>
      </c>
      <c r="F24" s="15"/>
      <c r="I24" s="15">
        <v>0.25</v>
      </c>
      <c r="J24" s="15"/>
      <c r="M24" s="15">
        <v>0.5</v>
      </c>
      <c r="N24" s="15"/>
      <c r="Q24" s="15">
        <v>1</v>
      </c>
      <c r="R24" s="15"/>
      <c r="U24" s="15">
        <v>2.5</v>
      </c>
      <c r="V24" s="15"/>
      <c r="Y24" s="15">
        <v>3</v>
      </c>
      <c r="Z24" s="15"/>
      <c r="AC24" s="15">
        <v>5</v>
      </c>
      <c r="AD24" s="15"/>
    </row>
    <row r="25" spans="1:30" x14ac:dyDescent="0.25">
      <c r="A25" t="s">
        <v>332</v>
      </c>
    </row>
    <row r="26" spans="1:30" x14ac:dyDescent="0.25">
      <c r="A26" t="s">
        <v>333</v>
      </c>
    </row>
    <row r="27" spans="1:30" x14ac:dyDescent="0.25">
      <c r="A27" t="s">
        <v>334</v>
      </c>
    </row>
    <row r="28" spans="1:30" x14ac:dyDescent="0.25">
      <c r="A28" t="s">
        <v>335</v>
      </c>
    </row>
    <row r="29" spans="1:30" x14ac:dyDescent="0.25">
      <c r="A29" t="s">
        <v>336</v>
      </c>
    </row>
    <row r="30" spans="1:30" x14ac:dyDescent="0.25">
      <c r="A30" t="s">
        <v>333</v>
      </c>
    </row>
    <row r="31" spans="1:30" x14ac:dyDescent="0.25">
      <c r="A31" s="1" t="s">
        <v>5</v>
      </c>
      <c r="B31" s="2">
        <f>AVERAGE(0.59,0.61,0.59)</f>
        <v>0.59666666666666668</v>
      </c>
      <c r="E31" s="1" t="s">
        <v>5</v>
      </c>
      <c r="F31" s="2">
        <f>AVERAGE(0.38,0.36,0.38)</f>
        <v>0.37333333333333335</v>
      </c>
      <c r="I31" s="1" t="s">
        <v>5</v>
      </c>
      <c r="J31" s="2">
        <f>AVERAGE(0.41,0.4,0.41)</f>
        <v>0.40666666666666668</v>
      </c>
      <c r="M31" s="1" t="s">
        <v>5</v>
      </c>
      <c r="N31" s="2">
        <f>AVERAGE(0.52,0.5,0.51)</f>
        <v>0.51</v>
      </c>
      <c r="Q31" s="1" t="s">
        <v>5</v>
      </c>
      <c r="R31" s="2">
        <f>AVERAGE(0.6,0.59,0.57)</f>
        <v>0.58666666666666656</v>
      </c>
      <c r="U31" s="1" t="s">
        <v>5</v>
      </c>
      <c r="V31" s="2">
        <f>AVERAGE(0.6,0.57,0.57)</f>
        <v>0.57999999999999996</v>
      </c>
      <c r="Y31" s="1" t="s">
        <v>5</v>
      </c>
      <c r="Z31" s="2">
        <f>AVERAGE(0.55,0.56,0.57)</f>
        <v>0.56000000000000005</v>
      </c>
      <c r="AC31" s="1" t="s">
        <v>5</v>
      </c>
      <c r="AD31" s="2">
        <f>AVERAGE(0.56,0.55,0.55)</f>
        <v>0.55333333333333334</v>
      </c>
    </row>
    <row r="32" spans="1:30" x14ac:dyDescent="0.25">
      <c r="A32" s="1" t="s">
        <v>28</v>
      </c>
      <c r="B32" s="3">
        <f>_xlfn.STDEV.S(0.015,0.016,0.016)</f>
        <v>5.7735026918962623E-4</v>
      </c>
      <c r="E32" s="1" t="s">
        <v>28</v>
      </c>
      <c r="F32" s="3">
        <f>_xlfn.STDEV.S(0.013,0.011,0.011)</f>
        <v>1.1547005383792516E-3</v>
      </c>
      <c r="I32" s="1" t="s">
        <v>28</v>
      </c>
      <c r="J32" s="3">
        <f>_xlfn.STDEV.S(0.013,0.011,0.011)</f>
        <v>1.1547005383792516E-3</v>
      </c>
      <c r="M32" s="1" t="s">
        <v>28</v>
      </c>
      <c r="N32" s="3">
        <f>_xlfn.STDEV.S(0.013,0.013,0.012)</f>
        <v>5.7735026918962525E-4</v>
      </c>
      <c r="Q32" s="1" t="s">
        <v>28</v>
      </c>
      <c r="R32" s="3">
        <f>_xlfn.STDEV.S(0.018,0.011,0.011)</f>
        <v>4.0414518843273914E-3</v>
      </c>
      <c r="U32" s="1" t="s">
        <v>28</v>
      </c>
      <c r="V32" s="3">
        <f>_xlfn.STDEV.S(0.018,0.011,0.011)</f>
        <v>4.0414518843273914E-3</v>
      </c>
      <c r="Y32" s="1" t="s">
        <v>28</v>
      </c>
      <c r="Z32" s="3">
        <f>_xlfn.STDEV.S(0.015,0.014,0.015)</f>
        <v>5.7735026918962525E-4</v>
      </c>
      <c r="AC32" s="1" t="s">
        <v>28</v>
      </c>
      <c r="AD32" s="3">
        <f>_xlfn.STDEV.S(0.013,0.012,0.015)</f>
        <v>1.5275252316519464E-3</v>
      </c>
    </row>
    <row r="33" spans="2:30" s="4" customFormat="1" x14ac:dyDescent="0.25">
      <c r="T33" s="4" t="s">
        <v>161</v>
      </c>
    </row>
    <row r="34" spans="2:30" x14ac:dyDescent="0.25">
      <c r="B34" s="10">
        <f>B21-B31</f>
        <v>0.30333333333333334</v>
      </c>
      <c r="F34" s="10">
        <f>F21-F31</f>
        <v>0.5</v>
      </c>
      <c r="J34" s="10">
        <f>J21-J31</f>
        <v>0.55000000000000004</v>
      </c>
      <c r="N34" s="10">
        <f>N21-N31</f>
        <v>0.78</v>
      </c>
      <c r="R34" s="10">
        <f>R21-R31</f>
        <v>1.4266666666666667</v>
      </c>
      <c r="V34" s="10">
        <f>V21-V31</f>
        <v>3.0166666666666662</v>
      </c>
      <c r="Z34" s="10">
        <f>Z21-Z31</f>
        <v>3.6733333333333333</v>
      </c>
      <c r="AD34" s="10">
        <f>AD21-AD31</f>
        <v>5.93</v>
      </c>
    </row>
    <row r="35" spans="2:30" x14ac:dyDescent="0.25">
      <c r="C35" s="17" t="s">
        <v>89</v>
      </c>
      <c r="D35" s="17"/>
      <c r="E35" s="17" t="s">
        <v>88</v>
      </c>
      <c r="F35" s="17"/>
      <c r="G35" s="17" t="s">
        <v>87</v>
      </c>
      <c r="H35" s="17"/>
      <c r="I35" s="17"/>
      <c r="J35" s="14" t="s">
        <v>162</v>
      </c>
    </row>
    <row r="36" spans="2:30" x14ac:dyDescent="0.25">
      <c r="C36" s="18">
        <v>0.1</v>
      </c>
      <c r="D36" s="18"/>
      <c r="E36" s="18" t="s">
        <v>90</v>
      </c>
      <c r="F36" s="18"/>
      <c r="G36" s="18" t="s">
        <v>92</v>
      </c>
      <c r="H36" s="18"/>
      <c r="I36" s="18"/>
      <c r="J36" s="13">
        <v>0.42</v>
      </c>
    </row>
    <row r="37" spans="2:30" x14ac:dyDescent="0.25">
      <c r="C37" s="18">
        <v>0.15</v>
      </c>
      <c r="D37" s="18"/>
      <c r="E37" s="18" t="s">
        <v>91</v>
      </c>
      <c r="F37" s="18"/>
      <c r="G37" s="18" t="s">
        <v>93</v>
      </c>
      <c r="H37" s="18"/>
      <c r="I37" s="18"/>
      <c r="J37" s="13">
        <v>0.5</v>
      </c>
    </row>
    <row r="38" spans="2:30" x14ac:dyDescent="0.25">
      <c r="C38" s="18">
        <v>0.25</v>
      </c>
      <c r="D38" s="18"/>
      <c r="E38" s="18" t="s">
        <v>94</v>
      </c>
      <c r="F38" s="18"/>
      <c r="G38" s="18" t="s">
        <v>95</v>
      </c>
      <c r="H38" s="18"/>
      <c r="I38" s="18"/>
      <c r="J38" s="13">
        <v>0.55000000000000004</v>
      </c>
    </row>
    <row r="39" spans="2:30" x14ac:dyDescent="0.25">
      <c r="C39" s="18">
        <v>0.5</v>
      </c>
      <c r="D39" s="18"/>
      <c r="E39" s="18" t="s">
        <v>96</v>
      </c>
      <c r="F39" s="18"/>
      <c r="G39" s="18" t="s">
        <v>97</v>
      </c>
      <c r="H39" s="18"/>
      <c r="I39" s="18"/>
      <c r="J39" s="13">
        <v>0.78</v>
      </c>
    </row>
    <row r="40" spans="2:30" x14ac:dyDescent="0.25">
      <c r="C40" s="18">
        <v>1</v>
      </c>
      <c r="D40" s="18"/>
      <c r="E40" s="18" t="s">
        <v>98</v>
      </c>
      <c r="F40" s="18"/>
      <c r="G40" s="18" t="s">
        <v>99</v>
      </c>
      <c r="H40" s="18"/>
      <c r="I40" s="18"/>
      <c r="J40" s="13">
        <v>1.43</v>
      </c>
    </row>
    <row r="41" spans="2:30" x14ac:dyDescent="0.25">
      <c r="C41" s="18">
        <v>2.5</v>
      </c>
      <c r="D41" s="18"/>
      <c r="E41" s="18" t="s">
        <v>149</v>
      </c>
      <c r="F41" s="18"/>
      <c r="G41" s="21" t="s">
        <v>150</v>
      </c>
      <c r="H41" s="22"/>
      <c r="I41" s="23"/>
      <c r="J41" s="13">
        <v>3.02</v>
      </c>
    </row>
    <row r="42" spans="2:30" x14ac:dyDescent="0.25">
      <c r="C42" s="18">
        <v>3</v>
      </c>
      <c r="D42" s="18"/>
      <c r="E42" s="18" t="s">
        <v>151</v>
      </c>
      <c r="F42" s="18"/>
      <c r="G42" s="18" t="s">
        <v>152</v>
      </c>
      <c r="H42" s="18"/>
      <c r="I42" s="18"/>
      <c r="J42" s="13">
        <v>3.67</v>
      </c>
    </row>
    <row r="43" spans="2:30" x14ac:dyDescent="0.25">
      <c r="C43" s="18">
        <v>5</v>
      </c>
      <c r="D43" s="18"/>
      <c r="E43" s="18" t="s">
        <v>153</v>
      </c>
      <c r="F43" s="18"/>
      <c r="G43" s="18" t="s">
        <v>160</v>
      </c>
      <c r="H43" s="18"/>
      <c r="I43" s="18"/>
      <c r="J43" s="13">
        <v>5.93</v>
      </c>
    </row>
    <row r="47" spans="2:30" x14ac:dyDescent="0.25">
      <c r="C47" s="24"/>
      <c r="D47" s="24"/>
      <c r="E47" s="24"/>
      <c r="F47" s="24"/>
    </row>
  </sheetData>
  <mergeCells count="47">
    <mergeCell ref="C43:D43"/>
    <mergeCell ref="E43:F43"/>
    <mergeCell ref="G43:I43"/>
    <mergeCell ref="C41:D41"/>
    <mergeCell ref="E41:F41"/>
    <mergeCell ref="G41:I41"/>
    <mergeCell ref="C42:D42"/>
    <mergeCell ref="E42:F42"/>
    <mergeCell ref="G42:I42"/>
    <mergeCell ref="C39:D39"/>
    <mergeCell ref="E39:F39"/>
    <mergeCell ref="G39:I39"/>
    <mergeCell ref="C40:D40"/>
    <mergeCell ref="E40:F40"/>
    <mergeCell ref="G40:I40"/>
    <mergeCell ref="C37:D37"/>
    <mergeCell ref="E37:F37"/>
    <mergeCell ref="G37:I37"/>
    <mergeCell ref="C38:D38"/>
    <mergeCell ref="E38:F38"/>
    <mergeCell ref="G38:I38"/>
    <mergeCell ref="C35:D35"/>
    <mergeCell ref="E35:F35"/>
    <mergeCell ref="G35:I35"/>
    <mergeCell ref="C36:D36"/>
    <mergeCell ref="E36:F36"/>
    <mergeCell ref="G36:I36"/>
    <mergeCell ref="AC14:AD14"/>
    <mergeCell ref="A23:J23"/>
    <mergeCell ref="A24:B24"/>
    <mergeCell ref="E24:F24"/>
    <mergeCell ref="I24:J24"/>
    <mergeCell ref="M24:N24"/>
    <mergeCell ref="Q24:R24"/>
    <mergeCell ref="U24:V24"/>
    <mergeCell ref="Y24:Z24"/>
    <mergeCell ref="AC24:AD24"/>
    <mergeCell ref="U3:AE3"/>
    <mergeCell ref="A4:J4"/>
    <mergeCell ref="A13:O13"/>
    <mergeCell ref="A14:B14"/>
    <mergeCell ref="E14:F14"/>
    <mergeCell ref="I14:J14"/>
    <mergeCell ref="M14:N14"/>
    <mergeCell ref="Q14:R14"/>
    <mergeCell ref="U14:V14"/>
    <mergeCell ref="Y14:Z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11-(7,13)-2025</vt:lpstr>
      <vt:lpstr>Graphs</vt:lpstr>
      <vt:lpstr>11-17-2025</vt:lpstr>
      <vt:lpstr>11-19-2025</vt:lpstr>
      <vt:lpstr>12-03-2025</vt:lpstr>
      <vt:lpstr>12-04-2025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2025-11-07T18:55:49Z</dcterms:created>
  <dcterms:modified xsi:type="dcterms:W3CDTF">2025-12-04T18:27:56Z</dcterms:modified>
</cp:coreProperties>
</file>